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6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talina Naranjo\Documents\Externado\Curso Finanzas Corporativas\Sesión 2 - Excel\"/>
    </mc:Choice>
  </mc:AlternateContent>
  <xr:revisionPtr revIDLastSave="0" documentId="8_{199BA841-8EF4-4B27-92F9-A51CBE4C1245}" xr6:coauthVersionLast="46" xr6:coauthVersionMax="46" xr10:uidLastSave="{00000000-0000-0000-0000-000000000000}"/>
  <bookViews>
    <workbookView xWindow="60" yWindow="80" windowWidth="19140" windowHeight="10120" firstSheet="6" activeTab="11" xr2:uid="{8C1D5A7C-632D-4346-BDB5-D5F65E8C2F76}"/>
  </bookViews>
  <sheets>
    <sheet name="Data" sheetId="1" r:id="rId1"/>
    <sheet name="EIR" sheetId="3" r:id="rId2"/>
    <sheet name="EIR detallado" sheetId="12" r:id="rId3"/>
    <sheet name="ESF" sheetId="4" r:id="rId4"/>
    <sheet name="Flujo de Caja" sheetId="6" r:id="rId5"/>
    <sheet name="EIR Comparativo" sheetId="5" r:id="rId6"/>
    <sheet name="Resumen Ejecutivo" sheetId="2" r:id="rId7"/>
    <sheet name="Unpivot EIR" sheetId="13" r:id="rId8"/>
    <sheet name="Unpivot ratios" sheetId="23" r:id="rId9"/>
    <sheet name="backend" sheetId="8" r:id="rId10"/>
    <sheet name="Dashboard-EIR" sheetId="9" r:id="rId11"/>
    <sheet name="Dashboard-ESF" sheetId="19" r:id="rId12"/>
    <sheet name="Dashboard-Ratios" sheetId="20" state="hidden" r:id="rId13"/>
  </sheets>
  <externalReferences>
    <externalReference r:id="rId14"/>
  </externalReferences>
  <definedNames>
    <definedName name="_xlchart.v5.0" hidden="1">backend!$B$30:$B$35</definedName>
    <definedName name="_xlchart.v5.1" hidden="1">backend!$E$30:$E$35</definedName>
    <definedName name="_xlchart.v5.10" hidden="1">backend!$S$17:$S$27</definedName>
    <definedName name="_xlchart.v5.11" hidden="1">backend!$V$17:$V$27</definedName>
    <definedName name="_xlchart.v5.2" hidden="1">backend!$B$22:$B$25</definedName>
    <definedName name="_xlchart.v5.3" hidden="1">backend!$E$22:$E$25</definedName>
    <definedName name="_xlchart.v5.4" hidden="1">backend!$B$26:$B$29</definedName>
    <definedName name="_xlchart.v5.5" hidden="1">backend!$E$26:$E$29</definedName>
    <definedName name="_xlchart.v5.6" hidden="1">backend!$S$4:$S$14</definedName>
    <definedName name="_xlchart.v5.7" hidden="1">backend!$V$4:$V$15</definedName>
    <definedName name="_xlchart.v5.8" hidden="1">backend!$S$29:$S$35</definedName>
    <definedName name="_xlchart.v5.9" hidden="1">backend!$V$29:$V$35</definedName>
    <definedName name="COP">[1]Lingo!$B$94</definedName>
    <definedName name="COP.ENG">[1]Lingo!$C$94</definedName>
    <definedName name="COPM">[1]Lingo!$B$95</definedName>
    <definedName name="COPM.ENG">[1]Lingo!$C$95</definedName>
    <definedName name="COPMM">[1]Lingo!$B$96</definedName>
    <definedName name="COPMM.ENG">[1]Lingo!$C$96</definedName>
    <definedName name="MonedaOriginal">Data!$C$4</definedName>
    <definedName name="MonedaReporte">Data!$K$4</definedName>
    <definedName name="Ordenador">Data!$D$72</definedName>
    <definedName name="POWER_USER_EXCEL_CHART_074D9592_EB4B_48E8_A34C_BD6E3741CE0F">#REF!</definedName>
    <definedName name="POWER_USER_EXCEL_CHART_0BA4DA0B_34BA_4189_9DC7_8A034F58467C">backend!$B$21:$E$22</definedName>
    <definedName name="POWER_USER_EXCEL_CHART_2043CCC9_CB60_44E0_8FAC_BB8523E2358E">backend!$B$21:$H$23</definedName>
    <definedName name="POWER_USER_EXCEL_CHART_333E0FAE_4BD7_4861_B763_B48F09FFADBF">#REF!</definedName>
    <definedName name="POWER_USER_EXCEL_CHART_395F1726_D8B0_4F84_8D38_BD7F56721D61">#REF!</definedName>
    <definedName name="POWER_USER_EXCEL_CHART_4F842C10_C103_472E_877A_AC1E745FF89B">'Dashboard-EIR'!$A$4:$C$12</definedName>
    <definedName name="POWER_USER_EXCEL_CHART_70A96AC0_C288_4254_BE0B_6215D241E0FD">backend!$B$21:$H$23</definedName>
    <definedName name="POWER_USER_EXCEL_CHART_B5CCA830_E95D_4F2D_9A09_726ABA1B2D96">backend!$C$21:$E$22</definedName>
    <definedName name="POWER_USER_EXCEL_CHART_B9CCBD8D_4600_4B4A_B07E_D6932A39A5BA">#REF!</definedName>
    <definedName name="POWER_USER_EXCEL_CHART_F7A2DE5F_880F_4BD1_A7B6_3355C6B2A342">ESF!$C$4:$D$16</definedName>
    <definedName name="POWER_USER_EXCEL_CHART_FBCC3393_744A_4011_BC28_DBA212908A4C">backend!$B$21:$E$22</definedName>
    <definedName name="Tasa00">Data!$L$5</definedName>
    <definedName name="Tasa01">Data!$M$5</definedName>
    <definedName name="Tasa02">Data!$N$5</definedName>
    <definedName name="Tasa03">Data!$O$5</definedName>
    <definedName name="Tasa04">Data!$P$5</definedName>
    <definedName name="Tasa05">Data!$Q$5</definedName>
    <definedName name="Tasa06">Data!$R$5</definedName>
    <definedName name="USD">[1]Lingo!$B$97</definedName>
    <definedName name="USD.ENG">[1]Lingo!$C$97</definedName>
    <definedName name="USDM">[1]Lingo!$B$98</definedName>
    <definedName name="USDM.ENG">[1]Lingo!$C$98</definedName>
    <definedName name="USDMM">[1]Lingo!$B$99</definedName>
    <definedName name="USDMM.ENG">[1]Lingo!$C$99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8" l="1"/>
  <c r="AB3" i="8"/>
  <c r="AB4" i="8" s="1" a="1"/>
  <c r="AB4" i="8" s="1"/>
  <c r="D45" i="19"/>
  <c r="E45" i="19"/>
  <c r="F45" i="19"/>
  <c r="B45" i="19"/>
  <c r="C45" i="19"/>
  <c r="E27" i="19"/>
  <c r="D27" i="19"/>
  <c r="C27" i="19"/>
  <c r="B27" i="19"/>
  <c r="E8" i="19"/>
  <c r="D8" i="19"/>
  <c r="C8" i="19"/>
  <c r="B8" i="19"/>
  <c r="U3" i="8"/>
  <c r="X3" i="8" s="1"/>
  <c r="Q5" i="8"/>
  <c r="Q6" i="8" s="1"/>
  <c r="T3" i="8"/>
  <c r="W3" i="8" s="1"/>
  <c r="I5" i="12"/>
  <c r="H5" i="12"/>
  <c r="G5" i="12"/>
  <c r="F5" i="12"/>
  <c r="E5" i="12"/>
  <c r="D5" i="12"/>
  <c r="C5" i="12"/>
  <c r="E1" i="12"/>
  <c r="F1" i="12" s="1"/>
  <c r="G1" i="12" s="1"/>
  <c r="H1" i="12" s="1"/>
  <c r="I1" i="12" s="1"/>
  <c r="D1" i="12"/>
  <c r="E3" i="2"/>
  <c r="F3" i="2" s="1"/>
  <c r="G3" i="2" s="1"/>
  <c r="H3" i="2" s="1"/>
  <c r="I3" i="2" s="1"/>
  <c r="J3" i="2" s="1"/>
  <c r="E3" i="8"/>
  <c r="D21" i="8" s="1"/>
  <c r="G21" i="8" s="1"/>
  <c r="Q9" i="9"/>
  <c r="P9" i="9"/>
  <c r="C3" i="8"/>
  <c r="N3" i="8" s="1"/>
  <c r="AC11" i="8" l="1" a="1"/>
  <c r="AC11" i="8" s="1"/>
  <c r="AC19" i="8" a="1"/>
  <c r="AC19" i="8" s="1"/>
  <c r="AC27" i="8" a="1"/>
  <c r="AC27" i="8" s="1"/>
  <c r="AC35" i="8" a="1"/>
  <c r="AC35" i="8" s="1"/>
  <c r="AC43" i="8" a="1"/>
  <c r="AC43" i="8" s="1"/>
  <c r="AC51" i="8" a="1"/>
  <c r="AC51" i="8" s="1"/>
  <c r="AC59" i="8" a="1"/>
  <c r="AC59" i="8" s="1"/>
  <c r="AC61" i="8" a="1"/>
  <c r="AC61" i="8" s="1"/>
  <c r="AC4" i="8" a="1"/>
  <c r="AC4" i="8" s="1"/>
  <c r="AC12" i="8" a="1"/>
  <c r="AC12" i="8" s="1"/>
  <c r="AC20" i="8" a="1"/>
  <c r="AC20" i="8" s="1"/>
  <c r="AC28" i="8" a="1"/>
  <c r="AC28" i="8" s="1"/>
  <c r="AC36" i="8" a="1"/>
  <c r="AC36" i="8" s="1"/>
  <c r="AC44" i="8" a="1"/>
  <c r="AC44" i="8" s="1"/>
  <c r="AC52" i="8" a="1"/>
  <c r="AC52" i="8" s="1"/>
  <c r="AC60" i="8" a="1"/>
  <c r="AC60" i="8" s="1"/>
  <c r="AC58" i="8" a="1"/>
  <c r="AC58" i="8" s="1"/>
  <c r="AC5" i="8" a="1"/>
  <c r="AC5" i="8" s="1"/>
  <c r="AC13" i="8" a="1"/>
  <c r="AC13" i="8" s="1"/>
  <c r="AC21" i="8" a="1"/>
  <c r="AC21" i="8" s="1"/>
  <c r="AC29" i="8" a="1"/>
  <c r="AC29" i="8" s="1"/>
  <c r="AC37" i="8" a="1"/>
  <c r="AC37" i="8" s="1"/>
  <c r="AC45" i="8" a="1"/>
  <c r="AC45" i="8" s="1"/>
  <c r="AC53" i="8" a="1"/>
  <c r="AC53" i="8" s="1"/>
  <c r="AC62" i="8" a="1"/>
  <c r="AC62" i="8" s="1"/>
  <c r="AC6" i="8" a="1"/>
  <c r="AC6" i="8" s="1"/>
  <c r="AC14" i="8" a="1"/>
  <c r="AC14" i="8" s="1"/>
  <c r="AC22" i="8" a="1"/>
  <c r="AC22" i="8" s="1"/>
  <c r="AC30" i="8" a="1"/>
  <c r="AC30" i="8" s="1"/>
  <c r="AC38" i="8" a="1"/>
  <c r="AC38" i="8" s="1"/>
  <c r="AC46" i="8" a="1"/>
  <c r="AC46" i="8" s="1"/>
  <c r="AC54" i="8" a="1"/>
  <c r="AC54" i="8" s="1"/>
  <c r="AC26" i="8" a="1"/>
  <c r="AC26" i="8" s="1"/>
  <c r="AC7" i="8" a="1"/>
  <c r="AC7" i="8" s="1"/>
  <c r="AC15" i="8" a="1"/>
  <c r="AC15" i="8" s="1"/>
  <c r="AC23" i="8" a="1"/>
  <c r="AC23" i="8" s="1"/>
  <c r="AC31" i="8" a="1"/>
  <c r="AC31" i="8" s="1"/>
  <c r="AC39" i="8" a="1"/>
  <c r="AC39" i="8" s="1"/>
  <c r="AC47" i="8" a="1"/>
  <c r="AC47" i="8" s="1"/>
  <c r="AC55" i="8" a="1"/>
  <c r="AC55" i="8" s="1"/>
  <c r="AC63" i="8" a="1"/>
  <c r="AC63" i="8" s="1"/>
  <c r="AC34" i="8" a="1"/>
  <c r="AC34" i="8" s="1"/>
  <c r="AC8" i="8" a="1"/>
  <c r="AC8" i="8" s="1"/>
  <c r="AC16" i="8" a="1"/>
  <c r="AC16" i="8" s="1"/>
  <c r="AC24" i="8" a="1"/>
  <c r="AC24" i="8" s="1"/>
  <c r="AC32" i="8" a="1"/>
  <c r="AC32" i="8" s="1"/>
  <c r="AC40" i="8" a="1"/>
  <c r="AC40" i="8" s="1"/>
  <c r="AC48" i="8" a="1"/>
  <c r="AC48" i="8" s="1"/>
  <c r="AC56" i="8" a="1"/>
  <c r="AC56" i="8" s="1"/>
  <c r="AC64" i="8" a="1"/>
  <c r="AC64" i="8" s="1"/>
  <c r="AC66" i="8" a="1"/>
  <c r="AC66" i="8" s="1"/>
  <c r="AC9" i="8" a="1"/>
  <c r="AC9" i="8" s="1"/>
  <c r="AC17" i="8" a="1"/>
  <c r="AC17" i="8" s="1"/>
  <c r="AC25" i="8" a="1"/>
  <c r="AC25" i="8" s="1"/>
  <c r="AC33" i="8" a="1"/>
  <c r="AC33" i="8" s="1"/>
  <c r="AC41" i="8" a="1"/>
  <c r="AC41" i="8" s="1"/>
  <c r="AC49" i="8" a="1"/>
  <c r="AC49" i="8" s="1"/>
  <c r="AC57" i="8" a="1"/>
  <c r="AC57" i="8" s="1"/>
  <c r="AC65" i="8" a="1"/>
  <c r="AC65" i="8" s="1"/>
  <c r="AC50" i="8" a="1"/>
  <c r="AC50" i="8" s="1"/>
  <c r="AC10" i="8" a="1"/>
  <c r="AC10" i="8" s="1"/>
  <c r="AC18" i="8" a="1"/>
  <c r="AC18" i="8" s="1"/>
  <c r="AC42" i="8" a="1"/>
  <c r="AC42" i="8" s="1"/>
  <c r="AB11" i="8" a="1"/>
  <c r="AB11" i="8" s="1"/>
  <c r="AD11" i="8" s="1"/>
  <c r="AB24" i="8" a="1"/>
  <c r="AB24" i="8" s="1"/>
  <c r="AB30" i="8" a="1"/>
  <c r="AB30" i="8" s="1"/>
  <c r="AB37" i="8" a="1"/>
  <c r="AB37" i="8" s="1"/>
  <c r="AB45" i="8" a="1"/>
  <c r="AB45" i="8" s="1"/>
  <c r="AB53" i="8" a="1"/>
  <c r="AB53" i="8" s="1"/>
  <c r="AB61" i="8" a="1"/>
  <c r="AB61" i="8" s="1"/>
  <c r="AB60" i="8" a="1"/>
  <c r="AB60" i="8" s="1"/>
  <c r="AD60" i="8" s="1"/>
  <c r="AE60" i="8" s="1"/>
  <c r="AB5" i="8" a="1"/>
  <c r="AB5" i="8" s="1"/>
  <c r="AD5" i="8" s="1"/>
  <c r="AE5" i="8" s="1"/>
  <c r="AB12" i="8" a="1"/>
  <c r="AB12" i="8" s="1"/>
  <c r="AB18" i="8" a="1"/>
  <c r="AB18" i="8" s="1"/>
  <c r="AB25" i="8" a="1"/>
  <c r="AB25" i="8" s="1"/>
  <c r="AB31" i="8" a="1"/>
  <c r="AB31" i="8" s="1"/>
  <c r="AB38" i="8" a="1"/>
  <c r="AB38" i="8" s="1"/>
  <c r="AB46" i="8" a="1"/>
  <c r="AB46" i="8" s="1"/>
  <c r="AD46" i="8" s="1"/>
  <c r="AE46" i="8" s="1"/>
  <c r="AB54" i="8" a="1"/>
  <c r="AB54" i="8" s="1"/>
  <c r="AD54" i="8" s="1"/>
  <c r="AE54" i="8" s="1"/>
  <c r="AB62" i="8" a="1"/>
  <c r="AB62" i="8" s="1"/>
  <c r="AD62" i="8" s="1"/>
  <c r="AE62" i="8" s="1"/>
  <c r="AB52" i="8" a="1"/>
  <c r="AB52" i="8" s="1"/>
  <c r="AB6" i="8" a="1"/>
  <c r="AB6" i="8" s="1"/>
  <c r="AB13" i="8" a="1"/>
  <c r="AB13" i="8" s="1"/>
  <c r="AB19" i="8" a="1"/>
  <c r="AB19" i="8" s="1"/>
  <c r="AB32" i="8" a="1"/>
  <c r="AB32" i="8" s="1"/>
  <c r="AD32" i="8" s="1"/>
  <c r="AE32" i="8" s="1"/>
  <c r="AB39" i="8" a="1"/>
  <c r="AB39" i="8" s="1"/>
  <c r="AB47" i="8" a="1"/>
  <c r="AB47" i="8" s="1"/>
  <c r="AD47" i="8" s="1"/>
  <c r="AB55" i="8" a="1"/>
  <c r="AB55" i="8" s="1"/>
  <c r="AB63" i="8" a="1"/>
  <c r="AB63" i="8" s="1"/>
  <c r="AD63" i="8" s="1"/>
  <c r="AB50" i="8" a="1"/>
  <c r="AB50" i="8" s="1"/>
  <c r="AB7" i="8" a="1"/>
  <c r="AB7" i="8" s="1"/>
  <c r="AB20" i="8" a="1"/>
  <c r="AB20" i="8" s="1"/>
  <c r="AB26" i="8" a="1"/>
  <c r="AB26" i="8" s="1"/>
  <c r="AB33" i="8" a="1"/>
  <c r="AB33" i="8" s="1"/>
  <c r="AD33" i="8" s="1"/>
  <c r="AE33" i="8" s="1"/>
  <c r="AB40" i="8" a="1"/>
  <c r="AB40" i="8" s="1"/>
  <c r="AD40" i="8" s="1"/>
  <c r="AE40" i="8" s="1"/>
  <c r="AB48" i="8" a="1"/>
  <c r="AB48" i="8" s="1"/>
  <c r="AB56" i="8" a="1"/>
  <c r="AB56" i="8" s="1"/>
  <c r="AB64" i="8" a="1"/>
  <c r="AB64" i="8" s="1"/>
  <c r="AD64" i="8" s="1"/>
  <c r="AE64" i="8" s="1"/>
  <c r="AB34" i="8" a="1"/>
  <c r="AB34" i="8" s="1"/>
  <c r="AB66" i="8" a="1"/>
  <c r="AB66" i="8" s="1"/>
  <c r="AB8" i="8" a="1"/>
  <c r="AB8" i="8" s="1"/>
  <c r="AB14" i="8" a="1"/>
  <c r="AB14" i="8" s="1"/>
  <c r="AD14" i="8" s="1"/>
  <c r="AB21" i="8" a="1"/>
  <c r="AB21" i="8" s="1"/>
  <c r="AD21" i="8" s="1"/>
  <c r="AE21" i="8" s="1"/>
  <c r="AB27" i="8" a="1"/>
  <c r="AB27" i="8" s="1"/>
  <c r="AD27" i="8" s="1"/>
  <c r="AE27" i="8" s="1"/>
  <c r="AB41" i="8" a="1"/>
  <c r="AB41" i="8" s="1"/>
  <c r="AB49" i="8" a="1"/>
  <c r="AB49" i="8" s="1"/>
  <c r="AB57" i="8" a="1"/>
  <c r="AB57" i="8" s="1"/>
  <c r="AB65" i="8" a="1"/>
  <c r="AB65" i="8" s="1"/>
  <c r="AB42" i="8" a="1"/>
  <c r="AB42" i="8" s="1"/>
  <c r="AD42" i="8" s="1"/>
  <c r="AE42" i="8" s="1"/>
  <c r="AB9" i="8" a="1"/>
  <c r="AB9" i="8" s="1"/>
  <c r="AD9" i="8" s="1"/>
  <c r="AB15" i="8" a="1"/>
  <c r="AB15" i="8" s="1"/>
  <c r="AD15" i="8" s="1"/>
  <c r="AE15" i="8" s="1"/>
  <c r="AB28" i="8" a="1"/>
  <c r="AB28" i="8" s="1"/>
  <c r="AD28" i="8" s="1"/>
  <c r="AE28" i="8" s="1"/>
  <c r="AB58" i="8" a="1"/>
  <c r="AB58" i="8" s="1"/>
  <c r="AB16" i="8" a="1"/>
  <c r="AB16" i="8" s="1"/>
  <c r="AB22" i="8" a="1"/>
  <c r="AB22" i="8" s="1"/>
  <c r="AD22" i="8" s="1"/>
  <c r="AE22" i="8" s="1"/>
  <c r="AB29" i="8" a="1"/>
  <c r="AB29" i="8" s="1"/>
  <c r="AB35" i="8" a="1"/>
  <c r="AB35" i="8" s="1"/>
  <c r="AD35" i="8" s="1"/>
  <c r="AE35" i="8" s="1"/>
  <c r="AB43" i="8" a="1"/>
  <c r="AB43" i="8" s="1"/>
  <c r="AD43" i="8" s="1"/>
  <c r="AE43" i="8" s="1"/>
  <c r="AB51" i="8" a="1"/>
  <c r="AB51" i="8" s="1"/>
  <c r="AD51" i="8" s="1"/>
  <c r="AE51" i="8" s="1"/>
  <c r="AB59" i="8" a="1"/>
  <c r="AB59" i="8" s="1"/>
  <c r="AD59" i="8" s="1"/>
  <c r="AB17" i="8" a="1"/>
  <c r="AB17" i="8" s="1"/>
  <c r="AD17" i="8" s="1"/>
  <c r="AB36" i="8" a="1"/>
  <c r="AB36" i="8" s="1"/>
  <c r="AE36" i="8" s="1"/>
  <c r="AB10" i="8" a="1"/>
  <c r="AB10" i="8" s="1"/>
  <c r="AB23" i="8" a="1"/>
  <c r="AB23" i="8" s="1"/>
  <c r="AB44" i="8" a="1"/>
  <c r="AB44" i="8" s="1"/>
  <c r="AD44" i="8" s="1"/>
  <c r="AD66" i="8"/>
  <c r="AE66" i="8" s="1"/>
  <c r="AD61" i="8"/>
  <c r="AE37" i="8"/>
  <c r="AD58" i="8"/>
  <c r="AE58" i="8" s="1"/>
  <c r="AD25" i="8"/>
  <c r="AE25" i="8" s="1"/>
  <c r="AD53" i="8"/>
  <c r="AE53" i="8" s="1"/>
  <c r="AD45" i="8"/>
  <c r="AE45" i="8" s="1"/>
  <c r="AD52" i="8"/>
  <c r="AE52" i="8" s="1"/>
  <c r="AD56" i="8"/>
  <c r="AE56" i="8" s="1"/>
  <c r="AD29" i="8"/>
  <c r="AE29" i="8" s="1"/>
  <c r="AD38" i="8"/>
  <c r="AE38" i="8" s="1"/>
  <c r="AD50" i="8"/>
  <c r="AE50" i="8" s="1"/>
  <c r="AD24" i="8"/>
  <c r="AE24" i="8" s="1"/>
  <c r="AD16" i="8"/>
  <c r="AE16" i="8" s="1"/>
  <c r="AD8" i="8"/>
  <c r="AE8" i="8" s="1"/>
  <c r="AD20" i="8"/>
  <c r="AD12" i="8"/>
  <c r="AE12" i="8" s="1"/>
  <c r="AD4" i="8"/>
  <c r="AE4" i="8" s="1"/>
  <c r="AD19" i="8"/>
  <c r="AE19" i="8" s="1"/>
  <c r="AD7" i="8"/>
  <c r="AE7" i="8" s="1"/>
  <c r="AD39" i="8"/>
  <c r="AE39" i="8" s="1"/>
  <c r="AD31" i="8"/>
  <c r="AE31" i="8" s="1"/>
  <c r="AD23" i="8"/>
  <c r="AD30" i="8"/>
  <c r="AE30" i="8" s="1"/>
  <c r="AD6" i="8"/>
  <c r="AE6" i="8" s="1"/>
  <c r="AD34" i="8"/>
  <c r="AE34" i="8" s="1"/>
  <c r="AD26" i="8"/>
  <c r="AE26" i="8" s="1"/>
  <c r="AD18" i="8"/>
  <c r="AE18" i="8" s="1"/>
  <c r="AD10" i="8"/>
  <c r="AE10" i="8" s="1"/>
  <c r="AD13" i="8"/>
  <c r="AE13" i="8" s="1"/>
  <c r="AD37" i="8"/>
  <c r="Q7" i="8"/>
  <c r="O3" i="8"/>
  <c r="C21" i="8"/>
  <c r="AD41" i="8" l="1"/>
  <c r="AD57" i="8"/>
  <c r="AE57" i="8" s="1"/>
  <c r="AD65" i="8"/>
  <c r="AD48" i="8"/>
  <c r="AD55" i="8"/>
  <c r="AE55" i="8" s="1"/>
  <c r="AD49" i="8"/>
  <c r="AE49" i="8" s="1"/>
  <c r="AD36" i="8"/>
  <c r="Q8" i="8"/>
  <c r="C30" i="8"/>
  <c r="D30" i="8" s="1"/>
  <c r="E30" i="8" s="1"/>
  <c r="C26" i="8"/>
  <c r="D26" i="8" s="1"/>
  <c r="E26" i="8" s="1"/>
  <c r="C32" i="8"/>
  <c r="F21" i="8"/>
  <c r="C31" i="8"/>
  <c r="C33" i="8"/>
  <c r="C34" i="8"/>
  <c r="C35" i="8"/>
  <c r="C29" i="8"/>
  <c r="C27" i="8"/>
  <c r="C28" i="8"/>
  <c r="C22" i="8"/>
  <c r="D22" i="8" s="1"/>
  <c r="E22" i="8" s="1"/>
  <c r="C25" i="8"/>
  <c r="C24" i="8"/>
  <c r="C23" i="8"/>
  <c r="H44" i="2"/>
  <c r="Q9" i="8" l="1"/>
  <c r="D27" i="8"/>
  <c r="F27" i="8"/>
  <c r="D29" i="8"/>
  <c r="F29" i="8"/>
  <c r="D23" i="8"/>
  <c r="F23" i="8"/>
  <c r="D35" i="8"/>
  <c r="F35" i="8"/>
  <c r="D25" i="8"/>
  <c r="F25" i="8"/>
  <c r="D24" i="8"/>
  <c r="F24" i="8"/>
  <c r="D34" i="8"/>
  <c r="F34" i="8"/>
  <c r="D33" i="8"/>
  <c r="F33" i="8"/>
  <c r="D31" i="8"/>
  <c r="F31" i="8"/>
  <c r="D28" i="8"/>
  <c r="F28" i="8"/>
  <c r="D32" i="8"/>
  <c r="F32" i="8"/>
  <c r="E6" i="8"/>
  <c r="D17" i="2"/>
  <c r="I44" i="2"/>
  <c r="E17" i="2"/>
  <c r="E4" i="8"/>
  <c r="C5" i="8"/>
  <c r="U6" i="8"/>
  <c r="F4" i="2"/>
  <c r="F40" i="2" s="1"/>
  <c r="G44" i="2"/>
  <c r="H45" i="2" s="1"/>
  <c r="F11" i="2"/>
  <c r="J17" i="2"/>
  <c r="C8" i="8"/>
  <c r="I47" i="2"/>
  <c r="C10" i="8"/>
  <c r="E5" i="8"/>
  <c r="C12" i="8"/>
  <c r="D55" i="2"/>
  <c r="F31" i="2"/>
  <c r="C6" i="8"/>
  <c r="E10" i="8"/>
  <c r="C4" i="8"/>
  <c r="T4" i="8"/>
  <c r="E12" i="8"/>
  <c r="J44" i="2"/>
  <c r="F44" i="2"/>
  <c r="D25" i="2"/>
  <c r="T8" i="8"/>
  <c r="E44" i="2"/>
  <c r="I30" i="2"/>
  <c r="U8" i="8" l="1"/>
  <c r="C13" i="19" s="1"/>
  <c r="T6" i="8"/>
  <c r="V6" i="8" s="1"/>
  <c r="U4" i="8"/>
  <c r="V4" i="8" s="1"/>
  <c r="C11" i="19"/>
  <c r="B9" i="19"/>
  <c r="B13" i="19"/>
  <c r="I56" i="2"/>
  <c r="E25" i="2"/>
  <c r="G33" i="2"/>
  <c r="D58" i="2"/>
  <c r="G29" i="2"/>
  <c r="Q10" i="8"/>
  <c r="E31" i="8"/>
  <c r="G31" i="8"/>
  <c r="E27" i="8"/>
  <c r="G27" i="8"/>
  <c r="E33" i="8"/>
  <c r="G33" i="8"/>
  <c r="E35" i="8"/>
  <c r="G35" i="8"/>
  <c r="E34" i="8"/>
  <c r="G34" i="8"/>
  <c r="E32" i="8"/>
  <c r="G32" i="8"/>
  <c r="E23" i="8"/>
  <c r="G23" i="8"/>
  <c r="E24" i="8"/>
  <c r="G24" i="8"/>
  <c r="E29" i="8"/>
  <c r="G29" i="8"/>
  <c r="E28" i="8"/>
  <c r="G28" i="8"/>
  <c r="E25" i="8"/>
  <c r="G25" i="8"/>
  <c r="F4" i="8"/>
  <c r="F5" i="8" s="1"/>
  <c r="F6" i="8" s="1"/>
  <c r="C15" i="8"/>
  <c r="C16" i="8"/>
  <c r="H24" i="2"/>
  <c r="I27" i="2"/>
  <c r="E56" i="2"/>
  <c r="D9" i="2"/>
  <c r="D18" i="2" s="1"/>
  <c r="U7" i="8"/>
  <c r="E15" i="8"/>
  <c r="E16" i="8"/>
  <c r="I31" i="2"/>
  <c r="F7" i="2"/>
  <c r="F6" i="2"/>
  <c r="F41" i="2" s="1"/>
  <c r="D56" i="2"/>
  <c r="I45" i="2"/>
  <c r="F5" i="2"/>
  <c r="F32" i="2" s="1"/>
  <c r="H29" i="2"/>
  <c r="H33" i="2"/>
  <c r="E58" i="2"/>
  <c r="H28" i="2"/>
  <c r="G34" i="2"/>
  <c r="F20" i="2"/>
  <c r="G46" i="2" s="1"/>
  <c r="F24" i="2"/>
  <c r="C14" i="8"/>
  <c r="E7" i="8"/>
  <c r="G24" i="2"/>
  <c r="E30" i="2"/>
  <c r="F8" i="2"/>
  <c r="F43" i="2" s="1"/>
  <c r="E47" i="2"/>
  <c r="G5" i="2"/>
  <c r="G32" i="2" s="1"/>
  <c r="H48" i="2"/>
  <c r="H57" i="2" s="1"/>
  <c r="F9" i="2"/>
  <c r="F12" i="2" s="1"/>
  <c r="G9" i="2"/>
  <c r="F29" i="2"/>
  <c r="I59" i="2"/>
  <c r="H5" i="2"/>
  <c r="H32" i="2" s="1"/>
  <c r="E28" i="2"/>
  <c r="H9" i="2"/>
  <c r="G5" i="8"/>
  <c r="E6" i="2"/>
  <c r="E41" i="2" s="1"/>
  <c r="E20" i="2"/>
  <c r="F46" i="2" s="1"/>
  <c r="E42" i="2"/>
  <c r="E8" i="2"/>
  <c r="E43" i="2" s="1"/>
  <c r="C19" i="8"/>
  <c r="E4" i="2"/>
  <c r="E40" i="2" s="1"/>
  <c r="G48" i="2"/>
  <c r="J25" i="2"/>
  <c r="F45" i="2"/>
  <c r="D48" i="2"/>
  <c r="I48" i="2"/>
  <c r="J37" i="2"/>
  <c r="J26" i="2"/>
  <c r="U5" i="8"/>
  <c r="C10" i="19" s="1"/>
  <c r="J28" i="2"/>
  <c r="J24" i="2"/>
  <c r="J59" i="2"/>
  <c r="H11" i="2"/>
  <c r="E11" i="2"/>
  <c r="C9" i="8"/>
  <c r="J5" i="2"/>
  <c r="J32" i="2" s="1"/>
  <c r="J29" i="2"/>
  <c r="J9" i="2"/>
  <c r="J18" i="2" s="1"/>
  <c r="J14" i="2"/>
  <c r="F42" i="2"/>
  <c r="J36" i="2"/>
  <c r="J33" i="2"/>
  <c r="U9" i="8"/>
  <c r="J34" i="2"/>
  <c r="J35" i="2"/>
  <c r="H23" i="2"/>
  <c r="I14" i="2"/>
  <c r="E24" i="2"/>
  <c r="F47" i="2"/>
  <c r="H4" i="2"/>
  <c r="H40" i="2" s="1"/>
  <c r="H8" i="2"/>
  <c r="H43" i="2" s="1"/>
  <c r="H6" i="2"/>
  <c r="H41" i="2" s="1"/>
  <c r="H42" i="2"/>
  <c r="H20" i="2"/>
  <c r="J58" i="2"/>
  <c r="J55" i="2"/>
  <c r="E34" i="2"/>
  <c r="E33" i="2"/>
  <c r="E36" i="2"/>
  <c r="E35" i="2"/>
  <c r="F59" i="2"/>
  <c r="E27" i="2"/>
  <c r="J27" i="2"/>
  <c r="G17" i="2"/>
  <c r="D36" i="2"/>
  <c r="D35" i="2"/>
  <c r="D33" i="2"/>
  <c r="D34" i="2"/>
  <c r="I7" i="2"/>
  <c r="D47" i="2"/>
  <c r="J11" i="2"/>
  <c r="F23" i="2"/>
  <c r="J48" i="2"/>
  <c r="H26" i="2"/>
  <c r="J30" i="2"/>
  <c r="J31" i="2"/>
  <c r="F56" i="2"/>
  <c r="F34" i="2"/>
  <c r="F35" i="2"/>
  <c r="F36" i="2"/>
  <c r="F33" i="2"/>
  <c r="E9" i="2"/>
  <c r="C7" i="8"/>
  <c r="N10" i="8" s="1"/>
  <c r="P16" i="9" s="1"/>
  <c r="E29" i="2"/>
  <c r="E5" i="2"/>
  <c r="E32" i="2" s="1"/>
  <c r="G47" i="2"/>
  <c r="E14" i="8"/>
  <c r="G58" i="2"/>
  <c r="G55" i="2"/>
  <c r="F25" i="2"/>
  <c r="I4" i="2"/>
  <c r="I40" i="2" s="1"/>
  <c r="I8" i="2"/>
  <c r="I43" i="2" s="1"/>
  <c r="I20" i="2"/>
  <c r="I42" i="2"/>
  <c r="I6" i="2"/>
  <c r="I41" i="2" s="1"/>
  <c r="H7" i="2"/>
  <c r="E7" i="2"/>
  <c r="H31" i="2"/>
  <c r="H30" i="2"/>
  <c r="I28" i="2"/>
  <c r="I24" i="2"/>
  <c r="I37" i="2"/>
  <c r="I26" i="2"/>
  <c r="G59" i="2"/>
  <c r="D11" i="2"/>
  <c r="H34" i="2"/>
  <c r="E55" i="2"/>
  <c r="H37" i="2"/>
  <c r="F26" i="2"/>
  <c r="G36" i="2"/>
  <c r="I25" i="2"/>
  <c r="T7" i="8"/>
  <c r="B12" i="19" s="1"/>
  <c r="F14" i="2"/>
  <c r="D30" i="2"/>
  <c r="D31" i="2"/>
  <c r="E23" i="2"/>
  <c r="C18" i="8"/>
  <c r="I17" i="2"/>
  <c r="J19" i="2" s="1"/>
  <c r="E48" i="2"/>
  <c r="H17" i="2"/>
  <c r="D7" i="2"/>
  <c r="H58" i="2"/>
  <c r="H55" i="2"/>
  <c r="G20" i="2"/>
  <c r="G42" i="2"/>
  <c r="G4" i="2"/>
  <c r="G40" i="2" s="1"/>
  <c r="G8" i="2"/>
  <c r="G43" i="2" s="1"/>
  <c r="G6" i="2"/>
  <c r="G41" i="2" s="1"/>
  <c r="E19" i="8"/>
  <c r="D37" i="2"/>
  <c r="D26" i="2"/>
  <c r="D24" i="2"/>
  <c r="D28" i="2"/>
  <c r="T5" i="8"/>
  <c r="G26" i="2"/>
  <c r="E19" i="2"/>
  <c r="F37" i="2"/>
  <c r="E26" i="2"/>
  <c r="D23" i="2"/>
  <c r="G23" i="2"/>
  <c r="E18" i="8"/>
  <c r="D20" i="2"/>
  <c r="D42" i="2"/>
  <c r="D4" i="2"/>
  <c r="D40" i="2" s="1"/>
  <c r="D6" i="2"/>
  <c r="D41" i="2" s="1"/>
  <c r="D8" i="2"/>
  <c r="D43" i="2" s="1"/>
  <c r="H47" i="2"/>
  <c r="H59" i="2"/>
  <c r="J7" i="2"/>
  <c r="G14" i="2"/>
  <c r="E11" i="8"/>
  <c r="D14" i="2"/>
  <c r="I36" i="2"/>
  <c r="I35" i="2"/>
  <c r="I34" i="2"/>
  <c r="I33" i="2"/>
  <c r="G11" i="2"/>
  <c r="E9" i="8"/>
  <c r="H14" i="2"/>
  <c r="F27" i="2"/>
  <c r="I29" i="2"/>
  <c r="I9" i="2"/>
  <c r="I10" i="2" s="1"/>
  <c r="I5" i="2"/>
  <c r="I32" i="2" s="1"/>
  <c r="F48" i="2"/>
  <c r="F17" i="2"/>
  <c r="H36" i="2"/>
  <c r="G37" i="2"/>
  <c r="E31" i="2"/>
  <c r="D27" i="2"/>
  <c r="E37" i="2"/>
  <c r="G7" i="2"/>
  <c r="G27" i="2"/>
  <c r="J47" i="2"/>
  <c r="I58" i="2"/>
  <c r="I55" i="2"/>
  <c r="E59" i="2"/>
  <c r="J45" i="2"/>
  <c r="G25" i="2"/>
  <c r="E8" i="8"/>
  <c r="G30" i="2"/>
  <c r="G31" i="2"/>
  <c r="J23" i="2"/>
  <c r="J42" i="2"/>
  <c r="J4" i="2"/>
  <c r="J40" i="2" s="1"/>
  <c r="J8" i="2"/>
  <c r="J43" i="2" s="1"/>
  <c r="J6" i="2"/>
  <c r="J41" i="2" s="1"/>
  <c r="J20" i="2"/>
  <c r="D29" i="2"/>
  <c r="F28" i="2"/>
  <c r="G35" i="2"/>
  <c r="H25" i="2"/>
  <c r="G56" i="2"/>
  <c r="H27" i="2"/>
  <c r="F58" i="2"/>
  <c r="F55" i="2"/>
  <c r="J56" i="2"/>
  <c r="I23" i="2"/>
  <c r="I11" i="2"/>
  <c r="H56" i="2"/>
  <c r="E14" i="2"/>
  <c r="C11" i="8"/>
  <c r="H35" i="2"/>
  <c r="G28" i="2"/>
  <c r="D5" i="2"/>
  <c r="D32" i="2" s="1"/>
  <c r="F30" i="2"/>
  <c r="G45" i="2"/>
  <c r="V8" i="8" l="1"/>
  <c r="C9" i="19"/>
  <c r="B11" i="19"/>
  <c r="H50" i="2"/>
  <c r="T9" i="8"/>
  <c r="V9" i="8" s="1"/>
  <c r="V7" i="8"/>
  <c r="C12" i="19"/>
  <c r="C14" i="19"/>
  <c r="G10" i="2"/>
  <c r="F52" i="2"/>
  <c r="V5" i="8"/>
  <c r="B10" i="19"/>
  <c r="D21" i="2"/>
  <c r="F22" i="2"/>
  <c r="F21" i="2"/>
  <c r="D12" i="2"/>
  <c r="E10" i="2"/>
  <c r="H10" i="2"/>
  <c r="Q11" i="8"/>
  <c r="T10" i="8"/>
  <c r="U10" i="8"/>
  <c r="O8" i="8"/>
  <c r="Q14" i="9" s="1"/>
  <c r="O18" i="8"/>
  <c r="Q24" i="9" s="1"/>
  <c r="J52" i="2"/>
  <c r="N12" i="8"/>
  <c r="P18" i="9" s="1"/>
  <c r="N14" i="8"/>
  <c r="P20" i="9" s="1"/>
  <c r="O16" i="8"/>
  <c r="Q22" i="9" s="1"/>
  <c r="N18" i="8"/>
  <c r="P24" i="9" s="1"/>
  <c r="N16" i="8"/>
  <c r="P22" i="9" s="1"/>
  <c r="N15" i="8"/>
  <c r="P21" i="9" s="1"/>
  <c r="F7" i="8"/>
  <c r="F8" i="8" s="1"/>
  <c r="O7" i="8"/>
  <c r="Q13" i="9" s="1"/>
  <c r="O4" i="8"/>
  <c r="Q10" i="9" s="1"/>
  <c r="F9" i="8"/>
  <c r="F10" i="8" s="1"/>
  <c r="O9" i="8"/>
  <c r="Q15" i="9" s="1"/>
  <c r="O12" i="8"/>
  <c r="Q18" i="9" s="1"/>
  <c r="O6" i="8"/>
  <c r="Q12" i="9" s="1"/>
  <c r="D11" i="8"/>
  <c r="N11" i="8"/>
  <c r="P17" i="9" s="1"/>
  <c r="D7" i="8"/>
  <c r="N7" i="8"/>
  <c r="P13" i="9" s="1"/>
  <c r="N8" i="8"/>
  <c r="P14" i="9" s="1"/>
  <c r="O5" i="8"/>
  <c r="Q11" i="9" s="1"/>
  <c r="N4" i="8"/>
  <c r="P10" i="9" s="1"/>
  <c r="O10" i="8"/>
  <c r="Q16" i="9" s="1"/>
  <c r="R16" i="9" s="1"/>
  <c r="F19" i="8"/>
  <c r="O19" i="8"/>
  <c r="Q25" i="9" s="1"/>
  <c r="F11" i="8"/>
  <c r="F12" i="8" s="1"/>
  <c r="O11" i="8"/>
  <c r="Q17" i="9" s="1"/>
  <c r="D19" i="8"/>
  <c r="N19" i="8"/>
  <c r="P25" i="9" s="1"/>
  <c r="O14" i="8"/>
  <c r="Q20" i="9" s="1"/>
  <c r="D9" i="8"/>
  <c r="N9" i="8"/>
  <c r="P15" i="9" s="1"/>
  <c r="O15" i="8"/>
  <c r="N5" i="8"/>
  <c r="P11" i="9" s="1"/>
  <c r="N6" i="8"/>
  <c r="P12" i="9" s="1"/>
  <c r="J60" i="2"/>
  <c r="C17" i="8"/>
  <c r="C13" i="8"/>
  <c r="E17" i="8"/>
  <c r="E13" i="8"/>
  <c r="E46" i="2"/>
  <c r="H5" i="8"/>
  <c r="K5" i="8"/>
  <c r="H51" i="2"/>
  <c r="E38" i="2"/>
  <c r="E18" i="2"/>
  <c r="E52" i="2"/>
  <c r="F60" i="2"/>
  <c r="G16" i="8"/>
  <c r="I38" i="2"/>
  <c r="I52" i="2"/>
  <c r="I5" i="8"/>
  <c r="J5" i="8"/>
  <c r="E54" i="2"/>
  <c r="E53" i="2"/>
  <c r="E16" i="2"/>
  <c r="E15" i="2"/>
  <c r="G38" i="2"/>
  <c r="F57" i="2"/>
  <c r="F51" i="2"/>
  <c r="F49" i="2"/>
  <c r="F50" i="2"/>
  <c r="G13" i="2"/>
  <c r="G12" i="2"/>
  <c r="H18" i="2"/>
  <c r="H19" i="2"/>
  <c r="I18" i="2"/>
  <c r="I19" i="2"/>
  <c r="F54" i="2"/>
  <c r="F16" i="2"/>
  <c r="F15" i="2"/>
  <c r="F53" i="2"/>
  <c r="J46" i="2"/>
  <c r="I21" i="2"/>
  <c r="I22" i="2"/>
  <c r="I16" i="2"/>
  <c r="I54" i="2"/>
  <c r="I15" i="2"/>
  <c r="I53" i="2"/>
  <c r="I57" i="2"/>
  <c r="I50" i="2"/>
  <c r="I49" i="2"/>
  <c r="I51" i="2"/>
  <c r="J22" i="2"/>
  <c r="J21" i="2"/>
  <c r="G54" i="2"/>
  <c r="G15" i="2"/>
  <c r="G53" i="2"/>
  <c r="G16" i="2"/>
  <c r="G21" i="2"/>
  <c r="H46" i="2"/>
  <c r="J12" i="2"/>
  <c r="J13" i="2"/>
  <c r="G50" i="2"/>
  <c r="G57" i="2"/>
  <c r="G49" i="2"/>
  <c r="G51" i="2"/>
  <c r="F38" i="2"/>
  <c r="G10" i="8"/>
  <c r="G60" i="2"/>
  <c r="H52" i="2"/>
  <c r="D57" i="2"/>
  <c r="D51" i="2"/>
  <c r="D50" i="2"/>
  <c r="G12" i="8"/>
  <c r="G19" i="2"/>
  <c r="G18" i="2"/>
  <c r="F13" i="2"/>
  <c r="E12" i="2"/>
  <c r="E13" i="2"/>
  <c r="H49" i="2"/>
  <c r="G22" i="2"/>
  <c r="H16" i="2"/>
  <c r="H53" i="2"/>
  <c r="H54" i="2"/>
  <c r="H15" i="2"/>
  <c r="H38" i="2"/>
  <c r="G6" i="8"/>
  <c r="J49" i="2"/>
  <c r="J50" i="2"/>
  <c r="J51" i="2"/>
  <c r="J57" i="2"/>
  <c r="H22" i="2"/>
  <c r="H21" i="2"/>
  <c r="I46" i="2"/>
  <c r="F10" i="2"/>
  <c r="J54" i="2"/>
  <c r="J15" i="2"/>
  <c r="J16" i="2"/>
  <c r="J53" i="2"/>
  <c r="F19" i="2"/>
  <c r="F18" i="2"/>
  <c r="G15" i="8"/>
  <c r="H60" i="2"/>
  <c r="E57" i="2"/>
  <c r="E51" i="2"/>
  <c r="E49" i="2"/>
  <c r="E50" i="2"/>
  <c r="G52" i="2"/>
  <c r="H13" i="2"/>
  <c r="H12" i="2"/>
  <c r="J38" i="2"/>
  <c r="I12" i="2"/>
  <c r="I13" i="2"/>
  <c r="D54" i="2"/>
  <c r="D15" i="2"/>
  <c r="D53" i="2"/>
  <c r="I60" i="2"/>
  <c r="J10" i="2"/>
  <c r="E22" i="2"/>
  <c r="E21" i="2"/>
  <c r="B14" i="19" l="1"/>
  <c r="C15" i="19"/>
  <c r="B15" i="19"/>
  <c r="V10" i="8"/>
  <c r="Q12" i="8"/>
  <c r="T11" i="8"/>
  <c r="U11" i="8"/>
  <c r="R14" i="9"/>
  <c r="R24" i="9"/>
  <c r="R15" i="9"/>
  <c r="R12" i="9"/>
  <c r="R13" i="9"/>
  <c r="R22" i="9"/>
  <c r="R18" i="9"/>
  <c r="R11" i="9"/>
  <c r="P15" i="8"/>
  <c r="Q21" i="9"/>
  <c r="R21" i="9" s="1"/>
  <c r="R17" i="9"/>
  <c r="R25" i="9"/>
  <c r="R10" i="9"/>
  <c r="R20" i="9"/>
  <c r="F13" i="8"/>
  <c r="F14" i="8" s="1"/>
  <c r="F15" i="8" s="1"/>
  <c r="F16" i="8" s="1"/>
  <c r="O13" i="8"/>
  <c r="Q19" i="9" s="1"/>
  <c r="D17" i="8"/>
  <c r="N17" i="8"/>
  <c r="P23" i="9" s="1"/>
  <c r="D13" i="8"/>
  <c r="N13" i="8"/>
  <c r="F17" i="8"/>
  <c r="F18" i="8" s="1"/>
  <c r="O17" i="8"/>
  <c r="Q23" i="9" s="1"/>
  <c r="H15" i="8"/>
  <c r="K15" i="8"/>
  <c r="H6" i="8"/>
  <c r="K6" i="8"/>
  <c r="H10" i="8"/>
  <c r="K10" i="8"/>
  <c r="H16" i="8"/>
  <c r="K16" i="8"/>
  <c r="L16" i="8" s="1"/>
  <c r="H12" i="8"/>
  <c r="K12" i="8"/>
  <c r="P11" i="8"/>
  <c r="P19" i="8"/>
  <c r="I16" i="8"/>
  <c r="J16" i="8"/>
  <c r="P9" i="8"/>
  <c r="P8" i="8"/>
  <c r="G14" i="8"/>
  <c r="G18" i="8"/>
  <c r="P7" i="8"/>
  <c r="P10" i="8"/>
  <c r="P4" i="8"/>
  <c r="P5" i="8"/>
  <c r="P6" i="8"/>
  <c r="P12" i="8"/>
  <c r="P16" i="8"/>
  <c r="L5" i="8"/>
  <c r="M5" i="8"/>
  <c r="I15" i="8"/>
  <c r="J15" i="8"/>
  <c r="G9" i="8"/>
  <c r="D10" i="8"/>
  <c r="G8" i="8"/>
  <c r="G11" i="8"/>
  <c r="D12" i="8"/>
  <c r="I10" i="8"/>
  <c r="J10" i="8"/>
  <c r="I6" i="8"/>
  <c r="J6" i="8"/>
  <c r="G13" i="8"/>
  <c r="D4" i="8"/>
  <c r="D5" i="8" s="1"/>
  <c r="D6" i="8" s="1"/>
  <c r="G4" i="8"/>
  <c r="I12" i="8"/>
  <c r="J12" i="8"/>
  <c r="G7" i="8"/>
  <c r="G19" i="8"/>
  <c r="C16" i="19" l="1"/>
  <c r="F61" i="2"/>
  <c r="B16" i="19"/>
  <c r="V11" i="8"/>
  <c r="Q13" i="8"/>
  <c r="T12" i="8"/>
  <c r="U12" i="8"/>
  <c r="R23" i="9"/>
  <c r="P13" i="8"/>
  <c r="P19" i="9"/>
  <c r="R19" i="9" s="1"/>
  <c r="H9" i="8"/>
  <c r="K9" i="8"/>
  <c r="H14" i="8"/>
  <c r="K14" i="8"/>
  <c r="H13" i="8"/>
  <c r="K13" i="8"/>
  <c r="H18" i="8"/>
  <c r="K18" i="8"/>
  <c r="M18" i="8" s="1"/>
  <c r="H4" i="8"/>
  <c r="K4" i="8"/>
  <c r="H8" i="8"/>
  <c r="K8" i="8"/>
  <c r="H19" i="8"/>
  <c r="K19" i="8"/>
  <c r="H11" i="8"/>
  <c r="K11" i="8"/>
  <c r="H7" i="8"/>
  <c r="K7" i="8"/>
  <c r="D14" i="8"/>
  <c r="D15" i="8" s="1"/>
  <c r="D16" i="8" s="1"/>
  <c r="P14" i="8"/>
  <c r="M16" i="8"/>
  <c r="I18" i="8"/>
  <c r="J18" i="8"/>
  <c r="I14" i="8"/>
  <c r="J14" i="8"/>
  <c r="P18" i="8"/>
  <c r="P17" i="8"/>
  <c r="D8" i="8"/>
  <c r="J9" i="8"/>
  <c r="I9" i="8"/>
  <c r="I4" i="8"/>
  <c r="J4" i="8"/>
  <c r="J61" i="2"/>
  <c r="I8" i="8"/>
  <c r="J8" i="8"/>
  <c r="I61" i="2"/>
  <c r="M15" i="8"/>
  <c r="L15" i="8"/>
  <c r="J13" i="8"/>
  <c r="I13" i="8"/>
  <c r="J7" i="8"/>
  <c r="I7" i="8"/>
  <c r="G61" i="2"/>
  <c r="J19" i="8"/>
  <c r="I19" i="8"/>
  <c r="L12" i="8"/>
  <c r="M12" i="8"/>
  <c r="H61" i="2"/>
  <c r="G17" i="8"/>
  <c r="D18" i="8"/>
  <c r="E61" i="2"/>
  <c r="L6" i="8"/>
  <c r="M6" i="8"/>
  <c r="I11" i="8"/>
  <c r="J11" i="8"/>
  <c r="M10" i="8"/>
  <c r="L10" i="8"/>
  <c r="C17" i="19" l="1"/>
  <c r="F63" i="2"/>
  <c r="B17" i="19"/>
  <c r="V12" i="8"/>
  <c r="Q14" i="8"/>
  <c r="T13" i="8"/>
  <c r="U13" i="8"/>
  <c r="H17" i="8"/>
  <c r="K17" i="8"/>
  <c r="L18" i="8"/>
  <c r="H62" i="2"/>
  <c r="M14" i="8"/>
  <c r="L14" i="8"/>
  <c r="E65" i="2"/>
  <c r="E39" i="2" s="1"/>
  <c r="E63" i="2"/>
  <c r="M7" i="8"/>
  <c r="L7" i="8"/>
  <c r="J17" i="8"/>
  <c r="I17" i="8"/>
  <c r="L11" i="8"/>
  <c r="M11" i="8"/>
  <c r="F62" i="2"/>
  <c r="L8" i="8"/>
  <c r="M8" i="8"/>
  <c r="L9" i="8"/>
  <c r="M9" i="8"/>
  <c r="M13" i="8"/>
  <c r="L13" i="8"/>
  <c r="I63" i="2"/>
  <c r="I65" i="2"/>
  <c r="G65" i="2"/>
  <c r="G63" i="2"/>
  <c r="J62" i="2"/>
  <c r="I62" i="2"/>
  <c r="L19" i="8"/>
  <c r="M19" i="8"/>
  <c r="J65" i="2"/>
  <c r="J63" i="2"/>
  <c r="H63" i="2"/>
  <c r="H65" i="2"/>
  <c r="G62" i="2"/>
  <c r="F65" i="2"/>
  <c r="L4" i="8"/>
  <c r="M4" i="8"/>
  <c r="C18" i="19" l="1"/>
  <c r="B18" i="19"/>
  <c r="V13" i="8"/>
  <c r="I64" i="2"/>
  <c r="Q15" i="8"/>
  <c r="T14" i="8"/>
  <c r="U14" i="8"/>
  <c r="J64" i="2"/>
  <c r="F64" i="2"/>
  <c r="H64" i="2"/>
  <c r="F39" i="2"/>
  <c r="F66" i="2"/>
  <c r="G66" i="2"/>
  <c r="G39" i="2"/>
  <c r="J39" i="2"/>
  <c r="J66" i="2"/>
  <c r="I66" i="2"/>
  <c r="I39" i="2"/>
  <c r="H39" i="2"/>
  <c r="H66" i="2"/>
  <c r="L17" i="8"/>
  <c r="M17" i="8"/>
  <c r="G64" i="2"/>
  <c r="C19" i="19" l="1"/>
  <c r="B19" i="19"/>
  <c r="V14" i="8"/>
  <c r="Q16" i="8"/>
  <c r="Q17" i="8" s="1"/>
  <c r="T15" i="8"/>
  <c r="U15" i="8"/>
  <c r="X15" i="8" l="1"/>
  <c r="E20" i="19" s="1"/>
  <c r="C20" i="19"/>
  <c r="X5" i="8"/>
  <c r="E10" i="19" s="1"/>
  <c r="X8" i="8"/>
  <c r="E13" i="19" s="1"/>
  <c r="X4" i="8"/>
  <c r="E9" i="19" s="1"/>
  <c r="X6" i="8"/>
  <c r="E11" i="19" s="1"/>
  <c r="X7" i="8"/>
  <c r="E12" i="19" s="1"/>
  <c r="X9" i="8"/>
  <c r="E14" i="19" s="1"/>
  <c r="X10" i="8"/>
  <c r="E15" i="19" s="1"/>
  <c r="X11" i="8"/>
  <c r="E16" i="19" s="1"/>
  <c r="X12" i="8"/>
  <c r="E17" i="19" s="1"/>
  <c r="X13" i="8"/>
  <c r="E18" i="19" s="1"/>
  <c r="X14" i="8"/>
  <c r="E19" i="19" s="1"/>
  <c r="B20" i="19"/>
  <c r="W15" i="8"/>
  <c r="W4" i="8"/>
  <c r="W7" i="8"/>
  <c r="W6" i="8"/>
  <c r="W8" i="8"/>
  <c r="W9" i="8"/>
  <c r="W5" i="8"/>
  <c r="W10" i="8"/>
  <c r="W11" i="8"/>
  <c r="W12" i="8"/>
  <c r="W13" i="8"/>
  <c r="W14" i="8"/>
  <c r="V15" i="8"/>
  <c r="Q18" i="8"/>
  <c r="T17" i="8"/>
  <c r="U17" i="8"/>
  <c r="C28" i="19" l="1"/>
  <c r="X17" i="8"/>
  <c r="E28" i="19" s="1"/>
  <c r="B28" i="19"/>
  <c r="W17" i="8"/>
  <c r="D12" i="19"/>
  <c r="Y7" i="8"/>
  <c r="F12" i="19" s="1"/>
  <c r="D10" i="19"/>
  <c r="Y5" i="8"/>
  <c r="F10" i="19" s="1"/>
  <c r="D9" i="19"/>
  <c r="Y4" i="8"/>
  <c r="F9" i="19" s="1"/>
  <c r="D14" i="19"/>
  <c r="Y9" i="8"/>
  <c r="F14" i="19" s="1"/>
  <c r="D13" i="19"/>
  <c r="Y8" i="8"/>
  <c r="F13" i="19" s="1"/>
  <c r="D11" i="19"/>
  <c r="Y6" i="8"/>
  <c r="F11" i="19" s="1"/>
  <c r="D18" i="19"/>
  <c r="Y13" i="8"/>
  <c r="F18" i="19" s="1"/>
  <c r="D17" i="19"/>
  <c r="Y12" i="8"/>
  <c r="F17" i="19" s="1"/>
  <c r="D16" i="19"/>
  <c r="Y11" i="8"/>
  <c r="F16" i="19" s="1"/>
  <c r="Y15" i="8"/>
  <c r="F20" i="19" s="1"/>
  <c r="D20" i="19"/>
  <c r="D19" i="19"/>
  <c r="Y14" i="8"/>
  <c r="F19" i="19" s="1"/>
  <c r="D15" i="19"/>
  <c r="Y10" i="8"/>
  <c r="F15" i="19" s="1"/>
  <c r="V17" i="8"/>
  <c r="Q19" i="8"/>
  <c r="T18" i="8"/>
  <c r="U18" i="8"/>
  <c r="X18" i="8" l="1"/>
  <c r="E29" i="19" s="1"/>
  <c r="C29" i="19"/>
  <c r="B29" i="19"/>
  <c r="W18" i="8"/>
  <c r="D28" i="19"/>
  <c r="Y17" i="8"/>
  <c r="F28" i="19" s="1"/>
  <c r="V18" i="8"/>
  <c r="Q20" i="8"/>
  <c r="T19" i="8"/>
  <c r="U19" i="8"/>
  <c r="C30" i="19" l="1"/>
  <c r="X19" i="8"/>
  <c r="E30" i="19" s="1"/>
  <c r="W19" i="8"/>
  <c r="B30" i="19"/>
  <c r="D29" i="19"/>
  <c r="Y18" i="8"/>
  <c r="F29" i="19" s="1"/>
  <c r="V19" i="8"/>
  <c r="Q21" i="8"/>
  <c r="T20" i="8"/>
  <c r="U20" i="8"/>
  <c r="C31" i="19" l="1"/>
  <c r="X20" i="8"/>
  <c r="E31" i="19" s="1"/>
  <c r="W20" i="8"/>
  <c r="B31" i="19"/>
  <c r="D30" i="19"/>
  <c r="Y19" i="8"/>
  <c r="F30" i="19" s="1"/>
  <c r="V20" i="8"/>
  <c r="Q22" i="8"/>
  <c r="T21" i="8"/>
  <c r="U21" i="8"/>
  <c r="C32" i="19" l="1"/>
  <c r="X21" i="8"/>
  <c r="E32" i="19" s="1"/>
  <c r="B32" i="19"/>
  <c r="W21" i="8"/>
  <c r="Y20" i="8"/>
  <c r="F31" i="19" s="1"/>
  <c r="D31" i="19"/>
  <c r="V21" i="8"/>
  <c r="Q23" i="8"/>
  <c r="T22" i="8"/>
  <c r="U22" i="8"/>
  <c r="X22" i="8" l="1"/>
  <c r="E33" i="19" s="1"/>
  <c r="C33" i="19"/>
  <c r="D32" i="19"/>
  <c r="Y21" i="8"/>
  <c r="F32" i="19" s="1"/>
  <c r="B33" i="19"/>
  <c r="W22" i="8"/>
  <c r="V22" i="8"/>
  <c r="Q24" i="8"/>
  <c r="T23" i="8"/>
  <c r="U23" i="8"/>
  <c r="X23" i="8" l="1"/>
  <c r="E34" i="19" s="1"/>
  <c r="C34" i="19"/>
  <c r="W23" i="8"/>
  <c r="B34" i="19"/>
  <c r="Y22" i="8"/>
  <c r="F33" i="19" s="1"/>
  <c r="D33" i="19"/>
  <c r="V23" i="8"/>
  <c r="Q25" i="8"/>
  <c r="T24" i="8"/>
  <c r="U24" i="8"/>
  <c r="X24" i="8" l="1"/>
  <c r="E35" i="19" s="1"/>
  <c r="C35" i="19"/>
  <c r="W24" i="8"/>
  <c r="B35" i="19"/>
  <c r="Y23" i="8"/>
  <c r="F34" i="19" s="1"/>
  <c r="D34" i="19"/>
  <c r="V24" i="8"/>
  <c r="Q26" i="8"/>
  <c r="T25" i="8"/>
  <c r="U25" i="8"/>
  <c r="X25" i="8" l="1"/>
  <c r="E36" i="19" s="1"/>
  <c r="C36" i="19"/>
  <c r="B36" i="19"/>
  <c r="W25" i="8"/>
  <c r="Y24" i="8"/>
  <c r="F35" i="19" s="1"/>
  <c r="D35" i="19"/>
  <c r="V25" i="8"/>
  <c r="Q27" i="8"/>
  <c r="T26" i="8"/>
  <c r="U26" i="8"/>
  <c r="C37" i="19" l="1"/>
  <c r="X26" i="8"/>
  <c r="E37" i="19" s="1"/>
  <c r="B37" i="19"/>
  <c r="W26" i="8"/>
  <c r="D36" i="19"/>
  <c r="Y25" i="8"/>
  <c r="F36" i="19" s="1"/>
  <c r="V26" i="8"/>
  <c r="Q28" i="8"/>
  <c r="Q29" i="8" s="1"/>
  <c r="T27" i="8"/>
  <c r="U27" i="8"/>
  <c r="C38" i="19" l="1"/>
  <c r="X27" i="8"/>
  <c r="E38" i="19" s="1"/>
  <c r="W27" i="8"/>
  <c r="B38" i="19"/>
  <c r="D37" i="19"/>
  <c r="Y26" i="8"/>
  <c r="F37" i="19" s="1"/>
  <c r="V27" i="8"/>
  <c r="Q30" i="8"/>
  <c r="T29" i="8"/>
  <c r="U29" i="8"/>
  <c r="X29" i="8" l="1"/>
  <c r="E46" i="19" s="1"/>
  <c r="C46" i="19"/>
  <c r="B46" i="19"/>
  <c r="W29" i="8"/>
  <c r="D38" i="19"/>
  <c r="Y27" i="8"/>
  <c r="F38" i="19" s="1"/>
  <c r="V29" i="8"/>
  <c r="Q31" i="8"/>
  <c r="T30" i="8"/>
  <c r="U30" i="8"/>
  <c r="C47" i="19" l="1"/>
  <c r="X30" i="8"/>
  <c r="E47" i="19" s="1"/>
  <c r="B47" i="19"/>
  <c r="W30" i="8"/>
  <c r="D46" i="19"/>
  <c r="Y29" i="8"/>
  <c r="F46" i="19" s="1"/>
  <c r="V30" i="8"/>
  <c r="Q32" i="8"/>
  <c r="T31" i="8"/>
  <c r="U31" i="8"/>
  <c r="X31" i="8" l="1"/>
  <c r="E48" i="19" s="1"/>
  <c r="C48" i="19"/>
  <c r="W31" i="8"/>
  <c r="B48" i="19"/>
  <c r="D47" i="19"/>
  <c r="Y30" i="8"/>
  <c r="F47" i="19" s="1"/>
  <c r="V31" i="8"/>
  <c r="Q33" i="8"/>
  <c r="T32" i="8"/>
  <c r="U32" i="8"/>
  <c r="X32" i="8" l="1"/>
  <c r="E49" i="19" s="1"/>
  <c r="C49" i="19"/>
  <c r="W32" i="8"/>
  <c r="B49" i="19"/>
  <c r="D48" i="19"/>
  <c r="Y31" i="8"/>
  <c r="F48" i="19" s="1"/>
  <c r="Q34" i="8"/>
  <c r="T33" i="8"/>
  <c r="U33" i="8"/>
  <c r="V32" i="8"/>
  <c r="X33" i="8" l="1"/>
  <c r="E50" i="19" s="1"/>
  <c r="C50" i="19"/>
  <c r="B50" i="19"/>
  <c r="W33" i="8"/>
  <c r="Y32" i="8"/>
  <c r="F49" i="19" s="1"/>
  <c r="D49" i="19"/>
  <c r="V33" i="8"/>
  <c r="Q35" i="8"/>
  <c r="T34" i="8"/>
  <c r="U34" i="8"/>
  <c r="C51" i="19" l="1"/>
  <c r="X34" i="8"/>
  <c r="E51" i="19" s="1"/>
  <c r="Y33" i="8"/>
  <c r="F50" i="19" s="1"/>
  <c r="D50" i="19"/>
  <c r="B51" i="19"/>
  <c r="W34" i="8"/>
  <c r="V34" i="8"/>
  <c r="T35" i="8"/>
  <c r="W35" i="8" s="1"/>
  <c r="U35" i="8"/>
  <c r="X35" i="8" s="1"/>
  <c r="Y35" i="8" l="1"/>
  <c r="D51" i="19"/>
  <c r="Y34" i="8"/>
  <c r="F51" i="19" s="1"/>
  <c r="V35" i="8"/>
</calcChain>
</file>

<file path=xl/sharedStrings.xml><?xml version="1.0" encoding="utf-8"?>
<sst xmlns="http://schemas.openxmlformats.org/spreadsheetml/2006/main" count="1753" uniqueCount="255">
  <si>
    <t>DATA</t>
  </si>
  <si>
    <t>Esp</t>
  </si>
  <si>
    <t>ACTIVO</t>
  </si>
  <si>
    <t>PASIVO</t>
  </si>
  <si>
    <t>PATRIMONIO</t>
  </si>
  <si>
    <t>%</t>
  </si>
  <si>
    <r>
      <t>p</t>
    </r>
    <r>
      <rPr>
        <sz val="12"/>
        <rFont val="Leelawadee"/>
        <family val="2"/>
      </rPr>
      <t>$</t>
    </r>
  </si>
  <si>
    <r>
      <t>p</t>
    </r>
    <r>
      <rPr>
        <sz val="12"/>
        <rFont val="Leelawadee"/>
        <family val="2"/>
      </rPr>
      <t>%</t>
    </r>
  </si>
  <si>
    <t>p$</t>
  </si>
  <si>
    <t>p%</t>
  </si>
  <si>
    <t>DuPont</t>
  </si>
  <si>
    <t>N/A</t>
  </si>
  <si>
    <t>Concepto</t>
  </si>
  <si>
    <t>Ingresos Brutos</t>
  </si>
  <si>
    <t>(Devoluciones, Rebajas y Descuentos)</t>
  </si>
  <si>
    <t>Ingresos Operacionales</t>
  </si>
  <si>
    <t>Costo de Ventas</t>
  </si>
  <si>
    <t>Utilidad Bruta</t>
  </si>
  <si>
    <t>Gastos Operacionales</t>
  </si>
  <si>
    <t>EBITDA</t>
  </si>
  <si>
    <t>Depreciación y Amortización</t>
  </si>
  <si>
    <t>Utilidad Operacional</t>
  </si>
  <si>
    <t>Gasto de Intereses</t>
  </si>
  <si>
    <t>Otros Ingresos / (Egresos) Financieros</t>
  </si>
  <si>
    <t>Otros Ingresos / (Egresos) No Operacionales</t>
  </si>
  <si>
    <t>Utilidad / (Pérdida) en Venta de Activos</t>
  </si>
  <si>
    <t>Utilidad / (Pérdida) por Diferencia en Cambio</t>
  </si>
  <si>
    <t>Resultado Atribuible a Participaciones no Controladoras</t>
  </si>
  <si>
    <t>Utilidad antes de impuestos</t>
  </si>
  <si>
    <t>Provisión Impuesto a la Renta</t>
  </si>
  <si>
    <t>Utilidad Neta</t>
  </si>
  <si>
    <t>Otros Ingresos</t>
  </si>
  <si>
    <t>Otros Egresos</t>
  </si>
  <si>
    <t>Otros Ing. Operacionales</t>
  </si>
  <si>
    <t>delta</t>
  </si>
  <si>
    <t>aumenta</t>
  </si>
  <si>
    <t>disminuye</t>
  </si>
  <si>
    <t>delta millones</t>
  </si>
  <si>
    <t>delta %</t>
  </si>
  <si>
    <t>Año actual</t>
  </si>
  <si>
    <t>Año anterior</t>
  </si>
  <si>
    <t>ESTADO INTEGRAL DE RESULTADOS</t>
  </si>
  <si>
    <t>Otros Ingresos Operacionales</t>
  </si>
  <si>
    <t>ESTADO DE SITUACIÓN FINANCIERA</t>
  </si>
  <si>
    <t>Disponible y equivalentes</t>
  </si>
  <si>
    <t>Cuentas por cobrar - Clientes</t>
  </si>
  <si>
    <t>Deterioro acumulado de Cartera</t>
  </si>
  <si>
    <t>Inventario Neto</t>
  </si>
  <si>
    <t>Otros Activos Corrientes</t>
  </si>
  <si>
    <t>ACTIVO CORRIENTE</t>
  </si>
  <si>
    <t>Activo Fijo - Neto</t>
  </si>
  <si>
    <t>Activo Diferido</t>
  </si>
  <si>
    <t>Intangibles y Valorizaciones</t>
  </si>
  <si>
    <t>Inversiones Permanentes</t>
  </si>
  <si>
    <t>Otros Activos Largo Plazo</t>
  </si>
  <si>
    <t>TOTAL ACTIVO</t>
  </si>
  <si>
    <t>Cuentas Por Pagar a Proveedores</t>
  </si>
  <si>
    <t>Obligaciones Financieras - Corto Plazo</t>
  </si>
  <si>
    <t>Porción Corriente de Deuda Financiera de LP</t>
  </si>
  <si>
    <t>Intereses Por Pagar</t>
  </si>
  <si>
    <t>Dividendos Por Pagar</t>
  </si>
  <si>
    <t>Otros Pasivos Corrientes</t>
  </si>
  <si>
    <t>PASIVO CORRIENTE</t>
  </si>
  <si>
    <t>Obligaciones Financieras - Largo Plazo</t>
  </si>
  <si>
    <t>Otros Pasivos De Largo Plazo</t>
  </si>
  <si>
    <t>Pasivo A Largo Plazo</t>
  </si>
  <si>
    <t>TOTAL PASIVO</t>
  </si>
  <si>
    <t>Capital Pagado</t>
  </si>
  <si>
    <t>Prima En Colocación De Acciones</t>
  </si>
  <si>
    <t>Revalorizaciones E Interés Minoritario</t>
  </si>
  <si>
    <t>Reservas Y Utilidades Retenidas</t>
  </si>
  <si>
    <t>TOTAL PATRIMONIO</t>
  </si>
  <si>
    <t>TOTAL PASIVO + PATRIMONIO</t>
  </si>
  <si>
    <t>DATOS QUE VAN AL FLUJO DE CAJA</t>
  </si>
  <si>
    <t>Impuestos Pagados</t>
  </si>
  <si>
    <t>CAPEX</t>
  </si>
  <si>
    <t>Dividendos Pagados</t>
  </si>
  <si>
    <t>Flujo de Caja</t>
  </si>
  <si>
    <t>+ EBITDA</t>
  </si>
  <si>
    <t>- Impuestos Pagados</t>
  </si>
  <si>
    <t>= Flujo de Caja Operativo</t>
  </si>
  <si>
    <t>- Inversión en Capital de Trabajo (a+b+c)</t>
  </si>
  <si>
    <t>a. Cuentas por Cobrar a Clientes</t>
  </si>
  <si>
    <t>b. Inventarios</t>
  </si>
  <si>
    <t>c. Cuentas por Pagar a Proveedores</t>
  </si>
  <si>
    <t>- CAPEX</t>
  </si>
  <si>
    <t>= Flujo de Caja Libre</t>
  </si>
  <si>
    <t>- Gasto de Intereses</t>
  </si>
  <si>
    <t>- Porción Corriente de DFLP</t>
  </si>
  <si>
    <t>= Flujo de Caja Disponible para el Accionista</t>
  </si>
  <si>
    <t>- Dividendos Pagados</t>
  </si>
  <si>
    <t>= Flujo de Caja Disponible para Reinversión</t>
  </si>
  <si>
    <t>Modelo 2</t>
  </si>
  <si>
    <t>- Impuestos pagados</t>
  </si>
  <si>
    <t>- Inversión en capital de trabajo</t>
  </si>
  <si>
    <t>- Gasto de intereses</t>
  </si>
  <si>
    <t>+ Variación Deuda Financiera</t>
  </si>
  <si>
    <t>Barras</t>
  </si>
  <si>
    <t>Variación absoluta</t>
  </si>
  <si>
    <t>Variación relativa</t>
  </si>
  <si>
    <t>Análisis vertical</t>
  </si>
  <si>
    <t>Δ</t>
  </si>
  <si>
    <t>Flujo de Caja Libre</t>
  </si>
  <si>
    <t>Flujo de Caja Disponible para el Accionista</t>
  </si>
  <si>
    <t>Flujo de Caja Disponible para Reinversión</t>
  </si>
  <si>
    <t>-</t>
  </si>
  <si>
    <t>Ingresos Operacionales Netos</t>
  </si>
  <si>
    <t>Utilidad antes de Impuestos</t>
  </si>
  <si>
    <t>Ventas Nacionales</t>
  </si>
  <si>
    <t>Ventas Internacionales</t>
  </si>
  <si>
    <t>E-commerce / Online</t>
  </si>
  <si>
    <t>Cuenta</t>
  </si>
  <si>
    <t>Devoluciones</t>
  </si>
  <si>
    <t>Ingresos por alquiler de espacios</t>
  </si>
  <si>
    <t>Comisiones y servicios logísticos</t>
  </si>
  <si>
    <t>Costo de Mercancía Vendida</t>
  </si>
  <si>
    <t>Transporte y Logística</t>
  </si>
  <si>
    <t>Personal de Tienda</t>
  </si>
  <si>
    <t>Mermas y Pérdidas</t>
  </si>
  <si>
    <t>Administración y Dirección</t>
  </si>
  <si>
    <t>Ventas y Marketing</t>
  </si>
  <si>
    <t>Tecnología y Sistemas</t>
  </si>
  <si>
    <t>RRHH y Formación</t>
  </si>
  <si>
    <t>Intereses sobre Préstamos Bancarios</t>
  </si>
  <si>
    <t>Intereses sobre Bonos</t>
  </si>
  <si>
    <t>Venta de Activos</t>
  </si>
  <si>
    <t>Diferencia en Cambio</t>
  </si>
  <si>
    <t>Pérdidas / Siniestralidad</t>
  </si>
  <si>
    <t>Ingresos por programas de fidelización</t>
  </si>
  <si>
    <t>Servicios Públicos / Suministros</t>
  </si>
  <si>
    <t>Arrendamientos / Mantenimiento</t>
  </si>
  <si>
    <t>Otros Gastos Financieros</t>
  </si>
  <si>
    <t>Participaciones no Controladoras</t>
  </si>
  <si>
    <t>Delta</t>
  </si>
  <si>
    <t>Estado Integral de Resultados Comparativo</t>
  </si>
  <si>
    <t>Ingresos brutos</t>
  </si>
  <si>
    <t>CXC Clientes</t>
  </si>
  <si>
    <t>Etiquetas</t>
  </si>
  <si>
    <t>Disponible</t>
  </si>
  <si>
    <t>Intangibles</t>
  </si>
  <si>
    <t>Det. Cartera</t>
  </si>
  <si>
    <t>Inventario neto</t>
  </si>
  <si>
    <t>Otros Activos Ctes.</t>
  </si>
  <si>
    <t>Activo fijo neto</t>
  </si>
  <si>
    <t>Activo diferido</t>
  </si>
  <si>
    <t>Inv. Permanentes</t>
  </si>
  <si>
    <t>Otros Activos no Ctes.</t>
  </si>
  <si>
    <t>Activo corriente</t>
  </si>
  <si>
    <t>*Valores en millones de pesos colombianos</t>
  </si>
  <si>
    <t>CXP Proveedores</t>
  </si>
  <si>
    <t>Int. Por pagar</t>
  </si>
  <si>
    <t>Div. Por pagar</t>
  </si>
  <si>
    <t>Otros pasivos ctes.</t>
  </si>
  <si>
    <t>Pasivo Corriente</t>
  </si>
  <si>
    <t>Otros pasivos LP</t>
  </si>
  <si>
    <t>Pasivo No Cte.</t>
  </si>
  <si>
    <t>Total Pasivo</t>
  </si>
  <si>
    <t>Ob. Financieras CP</t>
  </si>
  <si>
    <t>Porción cte. LP</t>
  </si>
  <si>
    <t>Ob. Financieras LP</t>
  </si>
  <si>
    <t>Capital pagado</t>
  </si>
  <si>
    <t>Utilidad neta</t>
  </si>
  <si>
    <t>Prima col. acciones</t>
  </si>
  <si>
    <t>Revalorización / int. Min</t>
  </si>
  <si>
    <t>Reservas y utilidades ret.</t>
  </si>
  <si>
    <t>Pasivo + Patrimonio</t>
  </si>
  <si>
    <t>Total patrimonio</t>
  </si>
  <si>
    <t>Margen Neto % (ROS)</t>
  </si>
  <si>
    <t>Rotación de Activos Totales (RAT)</t>
  </si>
  <si>
    <t>Rentabilidad del Activo (ROA)</t>
  </si>
  <si>
    <t>Multiplicador de Capital</t>
  </si>
  <si>
    <t>Rentabilidad del Patrimonio (ROE)</t>
  </si>
  <si>
    <t>Tasa de Cambio</t>
  </si>
  <si>
    <t>Operación</t>
  </si>
  <si>
    <t>Ventas Netas</t>
  </si>
  <si>
    <t>Variación Ventas Netas</t>
  </si>
  <si>
    <t>Margen Bruto %</t>
  </si>
  <si>
    <t>Variación Utilidad Bruta</t>
  </si>
  <si>
    <t>Margen EBITDA %</t>
  </si>
  <si>
    <t>Variación EBITDA</t>
  </si>
  <si>
    <t xml:space="preserve">Margen Operacional </t>
  </si>
  <si>
    <t>Margen Operacional %</t>
  </si>
  <si>
    <t>Variación Utilidad Operacional</t>
  </si>
  <si>
    <t>Variación Utilidad Neta del Ejercicio</t>
  </si>
  <si>
    <t>Tasa Efectiva de Impuestos</t>
  </si>
  <si>
    <t>Actividad</t>
  </si>
  <si>
    <t>Días Promedio Cartera</t>
  </si>
  <si>
    <t>16 días</t>
  </si>
  <si>
    <t>15 días</t>
  </si>
  <si>
    <t>17 días</t>
  </si>
  <si>
    <t>22 días</t>
  </si>
  <si>
    <t>27 días</t>
  </si>
  <si>
    <t>30 días</t>
  </si>
  <si>
    <t>Días Promedio Inventario</t>
  </si>
  <si>
    <t>48 días</t>
  </si>
  <si>
    <t>51 días</t>
  </si>
  <si>
    <t>45 días</t>
  </si>
  <si>
    <t>42 días</t>
  </si>
  <si>
    <t>53 días</t>
  </si>
  <si>
    <t>Ciclo de Operación</t>
  </si>
  <si>
    <t>63 días</t>
  </si>
  <si>
    <t>66 días</t>
  </si>
  <si>
    <t>64 días</t>
  </si>
  <si>
    <t>74 días</t>
  </si>
  <si>
    <t>68 días</t>
  </si>
  <si>
    <t>83 días</t>
  </si>
  <si>
    <t>Días Promedio Pago a Proveedores</t>
  </si>
  <si>
    <t>21 días</t>
  </si>
  <si>
    <t>28 días</t>
  </si>
  <si>
    <t>25 días</t>
  </si>
  <si>
    <t>36 días</t>
  </si>
  <si>
    <t>Ciclo de Conversión de Efectivo</t>
  </si>
  <si>
    <t>41 días</t>
  </si>
  <si>
    <t>46 días</t>
  </si>
  <si>
    <t>43 días</t>
  </si>
  <si>
    <t>47 días</t>
  </si>
  <si>
    <t>Rotación Cartera</t>
  </si>
  <si>
    <t>Rotación Inventario</t>
  </si>
  <si>
    <t>Rotación Proveedores</t>
  </si>
  <si>
    <t>Liquidez</t>
  </si>
  <si>
    <t>Razón Corriente</t>
  </si>
  <si>
    <t>Prueba Acida</t>
  </si>
  <si>
    <t>Prueba Super Acida</t>
  </si>
  <si>
    <t>Capital de Trabajo</t>
  </si>
  <si>
    <t>Capital de Trabajo Operativo</t>
  </si>
  <si>
    <t>Variación Capital de Trabajo Operativo</t>
  </si>
  <si>
    <t>FCDR / EBITDA</t>
  </si>
  <si>
    <t>Rentabilidad</t>
  </si>
  <si>
    <t>Rentabilidad del Activo Fijo</t>
  </si>
  <si>
    <t>Variación de Dividendos Pagados</t>
  </si>
  <si>
    <t>Factor de Distribución de Dividendos %</t>
  </si>
  <si>
    <t>Endeudamiento y Estructura de Capital</t>
  </si>
  <si>
    <t>Total Deuda Financiera (TDF)</t>
  </si>
  <si>
    <t>Variación TDF</t>
  </si>
  <si>
    <t>Nivel de Endeudamiento Financiero - TDF / EBITDA</t>
  </si>
  <si>
    <t>Nivel de Endeudamiento Financiero - TDF / Ventas</t>
  </si>
  <si>
    <t>Costo Promedio de la Deuda Financiera</t>
  </si>
  <si>
    <t>Cubrimiento de Intereses</t>
  </si>
  <si>
    <t>Cubrimiento Servicio de la Deuda (CSD)</t>
  </si>
  <si>
    <t>Nivel de Endeudamiento Total (NET)</t>
  </si>
  <si>
    <t>Concentración del Endeudamiento</t>
  </si>
  <si>
    <t>Apalancamiento Financiero</t>
  </si>
  <si>
    <t>Apalancamiento Total</t>
  </si>
  <si>
    <t>Datos del Flujo de Caja</t>
  </si>
  <si>
    <t>Variación CAPEX</t>
  </si>
  <si>
    <t>Variación del Flujo de Caja Libre</t>
  </si>
  <si>
    <t>Variación del Flujo de Caja Disponible para el Accionista</t>
  </si>
  <si>
    <t>Variación del Flujo de Caja Disponible para Reinversión</t>
  </si>
  <si>
    <t>Tipo de indicador</t>
  </si>
  <si>
    <t>Indicador</t>
  </si>
  <si>
    <t>Valores reales y delta</t>
  </si>
  <si>
    <t>Verificación</t>
  </si>
  <si>
    <t>OK</t>
  </si>
  <si>
    <t>Moneda de reporte</t>
  </si>
  <si>
    <t>RESUMEN EJECUTIVO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</si>
</sst>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_-&quot;$&quot;* #,##0_-;\-&quot;$&quot;* #,##0_-;_-&quot;$&quot;* &quot;-&quot;_-;_-@_-"/>
    <numFmt numFmtId="168" formatCode="_(* #,##0.0_);_(* \(#,##0.0\);_(* &quot;-&quot;??_);_(@_)"/>
    <numFmt numFmtId="169" formatCode="[$-409]d\-mmm\-yy;@"/>
    <numFmt numFmtId="170" formatCode="#,##0.00&quot; x&quot;"/>
    <numFmt numFmtId="171" formatCode="_-[$$-240A]\ * #,##0_-;\-[$$-240A]\ * #,##0_-;_-[$$-240A]\ * &quot;-&quot;??_-;_-@_-"/>
    <numFmt numFmtId="172" formatCode="_(&quot;€&quot;\ * #,##0_);_(&quot;€&quot;\ * \(#,##0\);_(&quot;€&quot;\ * &quot;-&quot;??_);_(@_)"/>
    <numFmt numFmtId="173" formatCode="&quot;$&quot;\ #,##0.0"/>
    <numFmt numFmtId="174" formatCode="&quot;$&quot;\ #,##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Leelawadee"/>
      <family val="2"/>
    </font>
    <font>
      <sz val="12"/>
      <name val="Leelawadee"/>
      <family val="2"/>
    </font>
    <font>
      <b/>
      <sz val="16"/>
      <color theme="0"/>
      <name val="Leelawadee"/>
      <family val="2"/>
    </font>
    <font>
      <sz val="9"/>
      <name val="Arial"/>
      <family val="2"/>
    </font>
    <font>
      <b/>
      <sz val="14"/>
      <name val="Leelawadee"/>
      <family val="2"/>
    </font>
    <font>
      <sz val="12"/>
      <name val="Calibri"/>
      <family val="2"/>
      <scheme val="minor"/>
    </font>
    <font>
      <sz val="12"/>
      <color theme="0"/>
      <name val="Leelawadee"/>
      <family val="2"/>
    </font>
    <font>
      <sz val="12"/>
      <name val="Wingdings 3"/>
      <family val="1"/>
      <charset val="2"/>
    </font>
    <font>
      <b/>
      <sz val="14"/>
      <color theme="0"/>
      <name val="Leelawadee"/>
      <family val="2"/>
    </font>
    <font>
      <sz val="14"/>
      <name val="Leelawadee"/>
      <family val="2"/>
    </font>
    <font>
      <sz val="11"/>
      <name val="Leelawadee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Leelawadee"/>
      <family val="2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/>
      <diagonal/>
    </border>
    <border>
      <left style="dotted">
        <color indexed="64"/>
      </left>
      <right style="dashed">
        <color indexed="64"/>
      </right>
      <top/>
      <bottom/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ashed">
        <color indexed="64"/>
      </right>
      <top/>
      <bottom style="medium">
        <color indexed="64"/>
      </bottom>
      <diagonal/>
    </border>
    <border>
      <left style="dott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517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165" fontId="4" fillId="0" borderId="0" xfId="1" applyNumberFormat="1" applyFont="1" applyAlignment="1">
      <alignment horizontal="center" vertical="top" wrapText="1"/>
    </xf>
    <xf numFmtId="0" fontId="7" fillId="0" borderId="1" xfId="0" applyFont="1" applyBorder="1" applyAlignment="1" applyProtection="1">
      <alignment horizont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3" xfId="0" applyFont="1" applyBorder="1" applyAlignment="1" applyProtection="1">
      <alignment horizontal="center" vertical="top" wrapText="1"/>
      <protection locked="0"/>
    </xf>
    <xf numFmtId="0" fontId="7" fillId="0" borderId="4" xfId="0" applyFont="1" applyBorder="1" applyAlignment="1" applyProtection="1">
      <alignment horizontal="center" vertical="top" wrapText="1"/>
      <protection locked="0"/>
    </xf>
    <xf numFmtId="0" fontId="7" fillId="0" borderId="5" xfId="0" applyFont="1" applyBorder="1" applyAlignment="1" applyProtection="1">
      <alignment horizontal="center" vertical="top" wrapText="1"/>
      <protection locked="0"/>
    </xf>
    <xf numFmtId="165" fontId="4" fillId="0" borderId="0" xfId="1" applyNumberFormat="1" applyFont="1"/>
    <xf numFmtId="0" fontId="3" fillId="0" borderId="0" xfId="0" applyFont="1" applyAlignment="1">
      <alignment horizontal="right" vertical="top" wrapText="1"/>
    </xf>
    <xf numFmtId="43" fontId="4" fillId="4" borderId="6" xfId="1" applyFont="1" applyFill="1" applyBorder="1" applyAlignment="1" applyProtection="1">
      <alignment horizontal="right" vertical="top" wrapText="1"/>
      <protection locked="0"/>
    </xf>
    <xf numFmtId="43" fontId="4" fillId="4" borderId="7" xfId="1" applyFont="1" applyFill="1" applyBorder="1" applyAlignment="1" applyProtection="1">
      <alignment horizontal="right" vertical="top" wrapText="1"/>
      <protection locked="0"/>
    </xf>
    <xf numFmtId="43" fontId="4" fillId="4" borderId="8" xfId="1" applyFont="1" applyFill="1" applyBorder="1" applyAlignment="1" applyProtection="1">
      <alignment horizontal="right" vertical="top" wrapText="1"/>
      <protection locked="0"/>
    </xf>
    <xf numFmtId="43" fontId="4" fillId="4" borderId="9" xfId="1" applyFont="1" applyFill="1" applyBorder="1" applyAlignment="1" applyProtection="1">
      <alignment horizontal="right" vertical="top" wrapText="1"/>
      <protection locked="0"/>
    </xf>
    <xf numFmtId="0" fontId="3" fillId="5" borderId="1" xfId="0" applyFont="1" applyFill="1" applyBorder="1" applyAlignment="1">
      <alignment horizontal="left"/>
    </xf>
    <xf numFmtId="165" fontId="4" fillId="0" borderId="0" xfId="0" applyNumberFormat="1" applyFont="1" applyAlignment="1">
      <alignment vertical="center"/>
    </xf>
    <xf numFmtId="0" fontId="4" fillId="0" borderId="10" xfId="0" applyFont="1" applyBorder="1" applyAlignment="1">
      <alignment horizontal="left" indent="1"/>
    </xf>
    <xf numFmtId="165" fontId="4" fillId="4" borderId="11" xfId="1" applyNumberFormat="1" applyFont="1" applyFill="1" applyBorder="1" applyAlignment="1" applyProtection="1">
      <alignment horizontal="right"/>
      <protection locked="0"/>
    </xf>
    <xf numFmtId="165" fontId="4" fillId="4" borderId="12" xfId="1" applyNumberFormat="1" applyFont="1" applyFill="1" applyBorder="1" applyAlignment="1" applyProtection="1">
      <alignment horizontal="right"/>
      <protection locked="0"/>
    </xf>
    <xf numFmtId="165" fontId="4" fillId="4" borderId="13" xfId="1" applyNumberFormat="1" applyFont="1" applyFill="1" applyBorder="1" applyAlignment="1" applyProtection="1">
      <alignment horizontal="right"/>
      <protection locked="0"/>
    </xf>
    <xf numFmtId="165" fontId="4" fillId="0" borderId="14" xfId="1" applyNumberFormat="1" applyFont="1" applyBorder="1" applyAlignment="1" applyProtection="1">
      <alignment horizontal="right"/>
      <protection locked="0"/>
    </xf>
    <xf numFmtId="165" fontId="4" fillId="0" borderId="12" xfId="1" applyNumberFormat="1" applyFont="1" applyBorder="1" applyAlignment="1" applyProtection="1">
      <alignment horizontal="right"/>
      <protection locked="0"/>
    </xf>
    <xf numFmtId="165" fontId="4" fillId="0" borderId="11" xfId="1" applyNumberFormat="1" applyFont="1" applyBorder="1" applyAlignment="1" applyProtection="1">
      <alignment horizontal="right"/>
      <protection locked="0"/>
    </xf>
    <xf numFmtId="165" fontId="4" fillId="0" borderId="13" xfId="1" applyNumberFormat="1" applyFont="1" applyBorder="1" applyAlignment="1" applyProtection="1">
      <alignment horizontal="right"/>
      <protection locked="0"/>
    </xf>
    <xf numFmtId="0" fontId="4" fillId="0" borderId="15" xfId="0" applyFont="1" applyBorder="1" applyAlignment="1">
      <alignment horizontal="left" indent="1"/>
    </xf>
    <xf numFmtId="165" fontId="4" fillId="4" borderId="0" xfId="1" applyNumberFormat="1" applyFont="1" applyFill="1" applyAlignment="1" applyProtection="1">
      <alignment horizontal="right"/>
      <protection locked="0"/>
    </xf>
    <xf numFmtId="165" fontId="4" fillId="4" borderId="16" xfId="1" applyNumberFormat="1" applyFont="1" applyFill="1" applyBorder="1" applyAlignment="1" applyProtection="1">
      <alignment horizontal="right"/>
      <protection locked="0"/>
    </xf>
    <xf numFmtId="165" fontId="4" fillId="4" borderId="17" xfId="1" applyNumberFormat="1" applyFont="1" applyFill="1" applyBorder="1" applyAlignment="1" applyProtection="1">
      <alignment horizontal="right"/>
      <protection locked="0"/>
    </xf>
    <xf numFmtId="165" fontId="4" fillId="0" borderId="18" xfId="1" applyNumberFormat="1" applyFont="1" applyBorder="1" applyAlignment="1" applyProtection="1">
      <alignment horizontal="right"/>
      <protection locked="0"/>
    </xf>
    <xf numFmtId="165" fontId="4" fillId="0" borderId="16" xfId="1" applyNumberFormat="1" applyFont="1" applyBorder="1" applyAlignment="1" applyProtection="1">
      <alignment horizontal="right"/>
      <protection locked="0"/>
    </xf>
    <xf numFmtId="165" fontId="4" fillId="0" borderId="0" xfId="1" applyNumberFormat="1" applyFont="1" applyAlignment="1" applyProtection="1">
      <alignment horizontal="right"/>
      <protection locked="0"/>
    </xf>
    <xf numFmtId="165" fontId="4" fillId="0" borderId="17" xfId="1" applyNumberFormat="1" applyFont="1" applyBorder="1" applyAlignment="1" applyProtection="1">
      <alignment horizontal="right"/>
      <protection locked="0"/>
    </xf>
    <xf numFmtId="0" fontId="4" fillId="0" borderId="19" xfId="0" applyFont="1" applyBorder="1" applyAlignment="1">
      <alignment horizontal="left" indent="1"/>
    </xf>
    <xf numFmtId="165" fontId="4" fillId="4" borderId="20" xfId="1" applyNumberFormat="1" applyFont="1" applyFill="1" applyBorder="1" applyAlignment="1" applyProtection="1">
      <alignment horizontal="right"/>
      <protection locked="0"/>
    </xf>
    <xf numFmtId="165" fontId="4" fillId="4" borderId="21" xfId="1" applyNumberFormat="1" applyFont="1" applyFill="1" applyBorder="1" applyAlignment="1" applyProtection="1">
      <alignment horizontal="right"/>
      <protection locked="0"/>
    </xf>
    <xf numFmtId="165" fontId="4" fillId="4" borderId="22" xfId="1" applyNumberFormat="1" applyFont="1" applyFill="1" applyBorder="1" applyAlignment="1" applyProtection="1">
      <alignment horizontal="right"/>
      <protection locked="0"/>
    </xf>
    <xf numFmtId="165" fontId="4" fillId="0" borderId="23" xfId="1" applyNumberFormat="1" applyFont="1" applyBorder="1" applyAlignment="1" applyProtection="1">
      <alignment horizontal="right"/>
      <protection locked="0"/>
    </xf>
    <xf numFmtId="165" fontId="4" fillId="0" borderId="21" xfId="1" applyNumberFormat="1" applyFont="1" applyBorder="1" applyAlignment="1" applyProtection="1">
      <alignment horizontal="right"/>
      <protection locked="0"/>
    </xf>
    <xf numFmtId="165" fontId="4" fillId="0" borderId="20" xfId="1" applyNumberFormat="1" applyFont="1" applyBorder="1" applyAlignment="1" applyProtection="1">
      <alignment horizontal="right"/>
      <protection locked="0"/>
    </xf>
    <xf numFmtId="165" fontId="4" fillId="0" borderId="22" xfId="1" applyNumberFormat="1" applyFont="1" applyBorder="1" applyAlignment="1" applyProtection="1">
      <alignment horizontal="right"/>
      <protection locked="0"/>
    </xf>
    <xf numFmtId="0" fontId="3" fillId="6" borderId="24" xfId="0" applyFont="1" applyFill="1" applyBorder="1"/>
    <xf numFmtId="165" fontId="3" fillId="6" borderId="25" xfId="1" applyNumberFormat="1" applyFont="1" applyFill="1" applyBorder="1" applyAlignment="1">
      <alignment horizontal="right"/>
    </xf>
    <xf numFmtId="165" fontId="3" fillId="6" borderId="26" xfId="1" applyNumberFormat="1" applyFont="1" applyFill="1" applyBorder="1" applyAlignment="1">
      <alignment horizontal="right"/>
    </xf>
    <xf numFmtId="165" fontId="3" fillId="6" borderId="27" xfId="1" applyNumberFormat="1" applyFont="1" applyFill="1" applyBorder="1" applyAlignment="1">
      <alignment horizontal="right"/>
    </xf>
    <xf numFmtId="165" fontId="3" fillId="6" borderId="28" xfId="1" applyNumberFormat="1" applyFont="1" applyFill="1" applyBorder="1" applyAlignment="1">
      <alignment horizontal="right"/>
    </xf>
    <xf numFmtId="165" fontId="3" fillId="6" borderId="29" xfId="1" applyNumberFormat="1" applyFont="1" applyFill="1" applyBorder="1" applyAlignment="1">
      <alignment horizontal="right"/>
    </xf>
    <xf numFmtId="0" fontId="4" fillId="0" borderId="30" xfId="0" applyFont="1" applyBorder="1" applyAlignment="1">
      <alignment horizontal="left" indent="1"/>
    </xf>
    <xf numFmtId="165" fontId="8" fillId="4" borderId="31" xfId="1" applyNumberFormat="1" applyFont="1" applyFill="1" applyBorder="1" applyAlignment="1" applyProtection="1">
      <alignment horizontal="right"/>
      <protection locked="0"/>
    </xf>
    <xf numFmtId="165" fontId="8" fillId="4" borderId="32" xfId="1" applyNumberFormat="1" applyFont="1" applyFill="1" applyBorder="1" applyAlignment="1" applyProtection="1">
      <alignment horizontal="right"/>
      <protection locked="0"/>
    </xf>
    <xf numFmtId="165" fontId="8" fillId="4" borderId="33" xfId="1" applyNumberFormat="1" applyFont="1" applyFill="1" applyBorder="1" applyAlignment="1" applyProtection="1">
      <alignment horizontal="right"/>
      <protection locked="0"/>
    </xf>
    <xf numFmtId="165" fontId="4" fillId="4" borderId="34" xfId="1" applyNumberFormat="1" applyFont="1" applyFill="1" applyBorder="1" applyAlignment="1" applyProtection="1">
      <alignment horizontal="right"/>
      <protection locked="0"/>
    </xf>
    <xf numFmtId="165" fontId="4" fillId="0" borderId="35" xfId="1" applyNumberFormat="1" applyFont="1" applyBorder="1" applyAlignment="1" applyProtection="1">
      <alignment horizontal="right"/>
      <protection locked="0"/>
    </xf>
    <xf numFmtId="165" fontId="4" fillId="0" borderId="32" xfId="1" applyNumberFormat="1" applyFont="1" applyBorder="1" applyAlignment="1" applyProtection="1">
      <alignment horizontal="right"/>
      <protection locked="0"/>
    </xf>
    <xf numFmtId="165" fontId="4" fillId="0" borderId="33" xfId="1" applyNumberFormat="1" applyFont="1" applyBorder="1" applyAlignment="1" applyProtection="1">
      <alignment horizontal="right"/>
      <protection locked="0"/>
    </xf>
    <xf numFmtId="165" fontId="4" fillId="0" borderId="34" xfId="1" applyNumberFormat="1" applyFont="1" applyBorder="1" applyAlignment="1" applyProtection="1">
      <alignment horizontal="right"/>
      <protection locked="0"/>
    </xf>
    <xf numFmtId="165" fontId="3" fillId="6" borderId="36" xfId="1" applyNumberFormat="1" applyFont="1" applyFill="1" applyBorder="1" applyAlignment="1">
      <alignment horizontal="right"/>
    </xf>
    <xf numFmtId="165" fontId="8" fillId="4" borderId="37" xfId="1" applyNumberFormat="1" applyFont="1" applyFill="1" applyBorder="1" applyAlignment="1" applyProtection="1">
      <alignment horizontal="right"/>
      <protection locked="0"/>
    </xf>
    <xf numFmtId="165" fontId="8" fillId="4" borderId="16" xfId="1" applyNumberFormat="1" applyFont="1" applyFill="1" applyBorder="1" applyAlignment="1" applyProtection="1">
      <alignment horizontal="right"/>
      <protection locked="0"/>
    </xf>
    <xf numFmtId="165" fontId="8" fillId="4" borderId="0" xfId="1" applyNumberFormat="1" applyFont="1" applyFill="1" applyAlignment="1" applyProtection="1">
      <alignment horizontal="right"/>
      <protection locked="0"/>
    </xf>
    <xf numFmtId="0" fontId="3" fillId="6" borderId="1" xfId="0" applyFont="1" applyFill="1" applyBorder="1" applyAlignment="1">
      <alignment horizontal="left"/>
    </xf>
    <xf numFmtId="165" fontId="3" fillId="6" borderId="4" xfId="1" applyNumberFormat="1" applyFont="1" applyFill="1" applyBorder="1" applyAlignment="1" applyProtection="1">
      <alignment horizontal="right"/>
      <protection locked="0"/>
    </xf>
    <xf numFmtId="165" fontId="3" fillId="6" borderId="3" xfId="1" applyNumberFormat="1" applyFont="1" applyFill="1" applyBorder="1" applyAlignment="1" applyProtection="1">
      <alignment horizontal="right"/>
      <protection locked="0"/>
    </xf>
    <xf numFmtId="165" fontId="3" fillId="6" borderId="5" xfId="1" applyNumberFormat="1" applyFont="1" applyFill="1" applyBorder="1" applyAlignment="1" applyProtection="1">
      <alignment horizontal="right"/>
      <protection locked="0"/>
    </xf>
    <xf numFmtId="165" fontId="3" fillId="6" borderId="2" xfId="1" applyNumberFormat="1" applyFont="1" applyFill="1" applyBorder="1" applyAlignment="1" applyProtection="1">
      <alignment horizontal="right"/>
      <protection locked="0"/>
    </xf>
    <xf numFmtId="165" fontId="8" fillId="4" borderId="38" xfId="1" applyNumberFormat="1" applyFont="1" applyFill="1" applyBorder="1" applyAlignment="1" applyProtection="1">
      <alignment horizontal="right"/>
      <protection locked="0"/>
    </xf>
    <xf numFmtId="165" fontId="8" fillId="4" borderId="21" xfId="1" applyNumberFormat="1" applyFont="1" applyFill="1" applyBorder="1" applyAlignment="1" applyProtection="1">
      <alignment horizontal="right"/>
      <protection locked="0"/>
    </xf>
    <xf numFmtId="165" fontId="8" fillId="4" borderId="20" xfId="1" applyNumberFormat="1" applyFont="1" applyFill="1" applyBorder="1" applyAlignment="1" applyProtection="1">
      <alignment horizontal="right"/>
      <protection locked="0"/>
    </xf>
    <xf numFmtId="165" fontId="4" fillId="0" borderId="0" xfId="1" applyNumberFormat="1" applyFont="1" applyAlignment="1">
      <alignment horizontal="right"/>
    </xf>
    <xf numFmtId="9" fontId="4" fillId="0" borderId="0" xfId="4" applyFont="1" applyAlignment="1">
      <alignment horizontal="right"/>
    </xf>
    <xf numFmtId="166" fontId="4" fillId="0" borderId="0" xfId="4" applyNumberFormat="1" applyFont="1" applyAlignment="1">
      <alignment horizontal="right"/>
    </xf>
    <xf numFmtId="0" fontId="3" fillId="3" borderId="1" xfId="0" applyFont="1" applyFill="1" applyBorder="1" applyAlignment="1">
      <alignment vertical="top" wrapText="1"/>
    </xf>
    <xf numFmtId="165" fontId="3" fillId="0" borderId="25" xfId="1" applyNumberFormat="1" applyFont="1" applyBorder="1" applyAlignment="1">
      <alignment horizontal="right" vertical="top" wrapText="1"/>
    </xf>
    <xf numFmtId="166" fontId="3" fillId="0" borderId="25" xfId="4" applyNumberFormat="1" applyFont="1" applyBorder="1" applyAlignment="1">
      <alignment horizontal="right" vertical="top" wrapText="1"/>
    </xf>
    <xf numFmtId="165" fontId="8" fillId="4" borderId="39" xfId="1" applyNumberFormat="1" applyFont="1" applyFill="1" applyBorder="1" applyAlignment="1" applyProtection="1">
      <alignment horizontal="right"/>
      <protection locked="0"/>
    </xf>
    <xf numFmtId="165" fontId="8" fillId="4" borderId="12" xfId="1" applyNumberFormat="1" applyFont="1" applyFill="1" applyBorder="1" applyAlignment="1" applyProtection="1">
      <alignment horizontal="right"/>
      <protection locked="0"/>
    </xf>
    <xf numFmtId="165" fontId="8" fillId="4" borderId="11" xfId="1" applyNumberFormat="1" applyFont="1" applyFill="1" applyBorder="1" applyAlignment="1" applyProtection="1">
      <alignment horizontal="right"/>
      <protection locked="0"/>
    </xf>
    <xf numFmtId="0" fontId="3" fillId="6" borderId="24" xfId="0" applyFont="1" applyFill="1" applyBorder="1" applyAlignment="1">
      <alignment vertical="top" wrapText="1"/>
    </xf>
    <xf numFmtId="0" fontId="4" fillId="0" borderId="0" xfId="0" applyFont="1" applyAlignment="1">
      <alignment horizontal="center" vertical="top" wrapText="1"/>
    </xf>
    <xf numFmtId="165" fontId="4" fillId="0" borderId="0" xfId="1" applyNumberFormat="1" applyFont="1" applyAlignment="1">
      <alignment horizontal="right" vertical="top" wrapText="1"/>
    </xf>
    <xf numFmtId="165" fontId="4" fillId="0" borderId="25" xfId="1" applyNumberFormat="1" applyFont="1" applyBorder="1" applyAlignment="1">
      <alignment horizontal="right" vertical="top" wrapText="1"/>
    </xf>
    <xf numFmtId="165" fontId="8" fillId="4" borderId="39" xfId="1" applyNumberFormat="1" applyFont="1" applyFill="1" applyBorder="1" applyAlignment="1" applyProtection="1">
      <alignment horizontal="right" vertical="top" wrapText="1"/>
      <protection locked="0"/>
    </xf>
    <xf numFmtId="165" fontId="8" fillId="4" borderId="12" xfId="1" applyNumberFormat="1" applyFont="1" applyFill="1" applyBorder="1" applyAlignment="1" applyProtection="1">
      <alignment horizontal="right" vertical="top" wrapText="1"/>
      <protection locked="0"/>
    </xf>
    <xf numFmtId="165" fontId="8" fillId="4" borderId="11" xfId="1" applyNumberFormat="1" applyFont="1" applyFill="1" applyBorder="1" applyAlignment="1" applyProtection="1">
      <alignment horizontal="right" vertical="top" wrapText="1"/>
      <protection locked="0"/>
    </xf>
    <xf numFmtId="165" fontId="4" fillId="4" borderId="13" xfId="1" applyNumberFormat="1" applyFont="1" applyFill="1" applyBorder="1" applyAlignment="1" applyProtection="1">
      <alignment horizontal="right" vertical="top" wrapText="1"/>
      <protection locked="0"/>
    </xf>
    <xf numFmtId="165" fontId="4" fillId="0" borderId="14" xfId="1" applyNumberFormat="1" applyFont="1" applyBorder="1" applyAlignment="1" applyProtection="1">
      <alignment horizontal="right" vertical="top" wrapText="1"/>
      <protection locked="0"/>
    </xf>
    <xf numFmtId="165" fontId="4" fillId="0" borderId="12" xfId="1" applyNumberFormat="1" applyFont="1" applyBorder="1" applyAlignment="1" applyProtection="1">
      <alignment horizontal="right" vertical="top" wrapText="1"/>
      <protection locked="0"/>
    </xf>
    <xf numFmtId="165" fontId="4" fillId="0" borderId="11" xfId="1" applyNumberFormat="1" applyFont="1" applyBorder="1" applyAlignment="1" applyProtection="1">
      <alignment horizontal="right" vertical="top" wrapText="1"/>
      <protection locked="0"/>
    </xf>
    <xf numFmtId="165" fontId="4" fillId="0" borderId="13" xfId="1" applyNumberFormat="1" applyFont="1" applyBorder="1" applyAlignment="1" applyProtection="1">
      <alignment horizontal="right" vertical="top" wrapText="1"/>
      <protection locked="0"/>
    </xf>
    <xf numFmtId="165" fontId="8" fillId="4" borderId="37" xfId="1" applyNumberFormat="1" applyFont="1" applyFill="1" applyBorder="1" applyAlignment="1" applyProtection="1">
      <alignment horizontal="right" vertical="top" wrapText="1"/>
      <protection locked="0"/>
    </xf>
    <xf numFmtId="165" fontId="8" fillId="4" borderId="16" xfId="1" applyNumberFormat="1" applyFont="1" applyFill="1" applyBorder="1" applyAlignment="1" applyProtection="1">
      <alignment horizontal="right" vertical="top" wrapText="1"/>
      <protection locked="0"/>
    </xf>
    <xf numFmtId="165" fontId="8" fillId="4" borderId="0" xfId="1" applyNumberFormat="1" applyFont="1" applyFill="1" applyAlignment="1" applyProtection="1">
      <alignment horizontal="right" vertical="top" wrapText="1"/>
      <protection locked="0"/>
    </xf>
    <xf numFmtId="165" fontId="4" fillId="4" borderId="17" xfId="1" applyNumberFormat="1" applyFont="1" applyFill="1" applyBorder="1" applyAlignment="1" applyProtection="1">
      <alignment horizontal="right" vertical="top" wrapText="1"/>
      <protection locked="0"/>
    </xf>
    <xf numFmtId="165" fontId="4" fillId="0" borderId="18" xfId="1" applyNumberFormat="1" applyFont="1" applyBorder="1" applyAlignment="1" applyProtection="1">
      <alignment horizontal="right" vertical="top" wrapText="1"/>
      <protection locked="0"/>
    </xf>
    <xf numFmtId="165" fontId="4" fillId="0" borderId="16" xfId="1" applyNumberFormat="1" applyFont="1" applyBorder="1" applyAlignment="1" applyProtection="1">
      <alignment horizontal="right" vertical="top" wrapText="1"/>
      <protection locked="0"/>
    </xf>
    <xf numFmtId="165" fontId="4" fillId="0" borderId="0" xfId="1" applyNumberFormat="1" applyFont="1" applyAlignment="1" applyProtection="1">
      <alignment horizontal="right" vertical="top" wrapText="1"/>
      <protection locked="0"/>
    </xf>
    <xf numFmtId="165" fontId="4" fillId="0" borderId="17" xfId="1" applyNumberFormat="1" applyFont="1" applyBorder="1" applyAlignment="1" applyProtection="1">
      <alignment horizontal="right" vertical="top" wrapText="1"/>
      <protection locked="0"/>
    </xf>
    <xf numFmtId="165" fontId="8" fillId="4" borderId="38" xfId="1" applyNumberFormat="1" applyFont="1" applyFill="1" applyBorder="1" applyAlignment="1" applyProtection="1">
      <alignment horizontal="right" vertical="top" wrapText="1"/>
      <protection locked="0"/>
    </xf>
    <xf numFmtId="165" fontId="8" fillId="4" borderId="21" xfId="1" applyNumberFormat="1" applyFont="1" applyFill="1" applyBorder="1" applyAlignment="1" applyProtection="1">
      <alignment horizontal="right" vertical="top" wrapText="1"/>
      <protection locked="0"/>
    </xf>
    <xf numFmtId="165" fontId="8" fillId="4" borderId="20" xfId="1" applyNumberFormat="1" applyFont="1" applyFill="1" applyBorder="1" applyAlignment="1" applyProtection="1">
      <alignment horizontal="right" vertical="top" wrapText="1"/>
      <protection locked="0"/>
    </xf>
    <xf numFmtId="165" fontId="4" fillId="4" borderId="22" xfId="1" applyNumberFormat="1" applyFont="1" applyFill="1" applyBorder="1" applyAlignment="1" applyProtection="1">
      <alignment horizontal="right" vertical="top" wrapText="1"/>
      <protection locked="0"/>
    </xf>
    <xf numFmtId="165" fontId="4" fillId="0" borderId="23" xfId="1" applyNumberFormat="1" applyFont="1" applyBorder="1" applyAlignment="1" applyProtection="1">
      <alignment horizontal="right" vertical="top" wrapText="1"/>
      <protection locked="0"/>
    </xf>
    <xf numFmtId="165" fontId="4" fillId="0" borderId="21" xfId="1" applyNumberFormat="1" applyFont="1" applyBorder="1" applyAlignment="1" applyProtection="1">
      <alignment horizontal="right" vertical="top" wrapText="1"/>
      <protection locked="0"/>
    </xf>
    <xf numFmtId="165" fontId="4" fillId="0" borderId="20" xfId="1" applyNumberFormat="1" applyFont="1" applyBorder="1" applyAlignment="1" applyProtection="1">
      <alignment horizontal="right" vertical="top" wrapText="1"/>
      <protection locked="0"/>
    </xf>
    <xf numFmtId="165" fontId="4" fillId="0" borderId="22" xfId="1" applyNumberFormat="1" applyFont="1" applyBorder="1" applyAlignment="1" applyProtection="1">
      <alignment horizontal="right" vertical="top" wrapText="1"/>
      <protection locked="0"/>
    </xf>
    <xf numFmtId="0" fontId="3" fillId="6" borderId="40" xfId="0" applyFont="1" applyFill="1" applyBorder="1" applyAlignment="1">
      <alignment vertical="top" wrapText="1"/>
    </xf>
    <xf numFmtId="165" fontId="3" fillId="6" borderId="41" xfId="1" applyNumberFormat="1" applyFont="1" applyFill="1" applyBorder="1" applyAlignment="1">
      <alignment horizontal="right"/>
    </xf>
    <xf numFmtId="165" fontId="3" fillId="6" borderId="42" xfId="1" applyNumberFormat="1" applyFont="1" applyFill="1" applyBorder="1" applyAlignment="1">
      <alignment horizontal="right"/>
    </xf>
    <xf numFmtId="165" fontId="3" fillId="6" borderId="43" xfId="1" applyNumberFormat="1" applyFont="1" applyFill="1" applyBorder="1" applyAlignment="1">
      <alignment horizontal="right"/>
    </xf>
    <xf numFmtId="165" fontId="3" fillId="6" borderId="44" xfId="1" applyNumberFormat="1" applyFont="1" applyFill="1" applyBorder="1" applyAlignment="1">
      <alignment horizontal="right"/>
    </xf>
    <xf numFmtId="0" fontId="3" fillId="0" borderId="11" xfId="0" applyFont="1" applyBorder="1" applyAlignment="1">
      <alignment vertical="top" wrapText="1"/>
    </xf>
    <xf numFmtId="165" fontId="3" fillId="0" borderId="0" xfId="1" applyNumberFormat="1" applyFont="1" applyAlignment="1">
      <alignment horizontal="right" vertical="top" wrapText="1"/>
    </xf>
    <xf numFmtId="0" fontId="3" fillId="0" borderId="0" xfId="0" applyFont="1" applyAlignment="1">
      <alignment vertical="top" wrapText="1"/>
    </xf>
    <xf numFmtId="165" fontId="3" fillId="0" borderId="11" xfId="1" applyNumberFormat="1" applyFont="1" applyBorder="1" applyAlignment="1">
      <alignment horizontal="right" vertical="top" wrapText="1"/>
    </xf>
    <xf numFmtId="165" fontId="3" fillId="0" borderId="0" xfId="0" applyNumberFormat="1" applyFont="1" applyAlignment="1">
      <alignment vertical="center"/>
    </xf>
    <xf numFmtId="0" fontId="3" fillId="6" borderId="1" xfId="0" applyFont="1" applyFill="1" applyBorder="1" applyAlignment="1">
      <alignment vertical="top" wrapText="1"/>
    </xf>
    <xf numFmtId="165" fontId="3" fillId="6" borderId="4" xfId="1" applyNumberFormat="1" applyFont="1" applyFill="1" applyBorder="1" applyAlignment="1">
      <alignment horizontal="right"/>
    </xf>
    <xf numFmtId="165" fontId="3" fillId="6" borderId="3" xfId="1" applyNumberFormat="1" applyFont="1" applyFill="1" applyBorder="1" applyAlignment="1">
      <alignment horizontal="right"/>
    </xf>
    <xf numFmtId="165" fontId="3" fillId="6" borderId="5" xfId="1" applyNumberFormat="1" applyFont="1" applyFill="1" applyBorder="1" applyAlignment="1">
      <alignment horizontal="right"/>
    </xf>
    <xf numFmtId="165" fontId="3" fillId="6" borderId="2" xfId="1" applyNumberFormat="1" applyFont="1" applyFill="1" applyBorder="1" applyAlignment="1">
      <alignment horizontal="right"/>
    </xf>
    <xf numFmtId="0" fontId="3" fillId="3" borderId="1" xfId="0" applyFont="1" applyFill="1" applyBorder="1"/>
    <xf numFmtId="165" fontId="4" fillId="0" borderId="0" xfId="0" applyNumberFormat="1" applyFont="1"/>
    <xf numFmtId="165" fontId="4" fillId="4" borderId="45" xfId="1" applyNumberFormat="1" applyFont="1" applyFill="1" applyBorder="1" applyAlignment="1" applyProtection="1">
      <alignment horizontal="right" vertical="top" wrapText="1"/>
      <protection locked="0"/>
    </xf>
    <xf numFmtId="165" fontId="4" fillId="4" borderId="12" xfId="1" applyNumberFormat="1" applyFont="1" applyFill="1" applyBorder="1" applyAlignment="1" applyProtection="1">
      <alignment horizontal="right" vertical="top" wrapText="1"/>
      <protection locked="0"/>
    </xf>
    <xf numFmtId="165" fontId="4" fillId="4" borderId="11" xfId="1" applyNumberFormat="1" applyFont="1" applyFill="1" applyBorder="1" applyAlignment="1" applyProtection="1">
      <alignment horizontal="right" vertical="top" wrapText="1"/>
      <protection locked="0"/>
    </xf>
    <xf numFmtId="165" fontId="4" fillId="0" borderId="45" xfId="1" applyNumberFormat="1" applyFont="1" applyBorder="1" applyAlignment="1" applyProtection="1">
      <alignment horizontal="right" vertical="top" wrapText="1"/>
      <protection locked="0"/>
    </xf>
    <xf numFmtId="0" fontId="4" fillId="0" borderId="46" xfId="0" applyFont="1" applyBorder="1" applyAlignment="1">
      <alignment horizontal="left" indent="1"/>
    </xf>
    <xf numFmtId="165" fontId="4" fillId="4" borderId="47" xfId="1" applyNumberFormat="1" applyFont="1" applyFill="1" applyBorder="1" applyAlignment="1" applyProtection="1">
      <alignment horizontal="right" vertical="top" wrapText="1"/>
      <protection locked="0"/>
    </xf>
    <xf numFmtId="165" fontId="4" fillId="4" borderId="48" xfId="1" applyNumberFormat="1" applyFont="1" applyFill="1" applyBorder="1" applyAlignment="1" applyProtection="1">
      <alignment horizontal="right" vertical="top" wrapText="1"/>
      <protection locked="0"/>
    </xf>
    <xf numFmtId="165" fontId="4" fillId="4" borderId="49" xfId="1" applyNumberFormat="1" applyFont="1" applyFill="1" applyBorder="1" applyAlignment="1" applyProtection="1">
      <alignment horizontal="right" vertical="top" wrapText="1"/>
      <protection locked="0"/>
    </xf>
    <xf numFmtId="165" fontId="4" fillId="4" borderId="50" xfId="1" applyNumberFormat="1" applyFont="1" applyFill="1" applyBorder="1" applyAlignment="1" applyProtection="1">
      <alignment horizontal="right" vertical="top" wrapText="1"/>
      <protection locked="0"/>
    </xf>
    <xf numFmtId="165" fontId="4" fillId="0" borderId="47" xfId="1" applyNumberFormat="1" applyFont="1" applyBorder="1" applyAlignment="1" applyProtection="1">
      <alignment horizontal="right" vertical="top" wrapText="1"/>
      <protection locked="0"/>
    </xf>
    <xf numFmtId="165" fontId="4" fillId="0" borderId="48" xfId="1" applyNumberFormat="1" applyFont="1" applyBorder="1" applyAlignment="1" applyProtection="1">
      <alignment horizontal="right" vertical="top" wrapText="1"/>
      <protection locked="0"/>
    </xf>
    <xf numFmtId="165" fontId="4" fillId="0" borderId="49" xfId="1" applyNumberFormat="1" applyFont="1" applyBorder="1" applyAlignment="1" applyProtection="1">
      <alignment horizontal="right" vertical="top" wrapText="1"/>
      <protection locked="0"/>
    </xf>
    <xf numFmtId="165" fontId="4" fillId="0" borderId="50" xfId="1" applyNumberFormat="1" applyFont="1" applyBorder="1" applyAlignment="1" applyProtection="1">
      <alignment horizontal="right" vertical="top" wrapText="1"/>
      <protection locked="0"/>
    </xf>
    <xf numFmtId="0" fontId="4" fillId="0" borderId="24" xfId="0" applyFont="1" applyBorder="1" applyAlignment="1">
      <alignment horizontal="left" indent="1"/>
    </xf>
    <xf numFmtId="165" fontId="4" fillId="4" borderId="51" xfId="1" applyNumberFormat="1" applyFont="1" applyFill="1" applyBorder="1" applyAlignment="1" applyProtection="1">
      <alignment horizontal="right" vertical="top" wrapText="1"/>
      <protection locked="0"/>
    </xf>
    <xf numFmtId="165" fontId="4" fillId="4" borderId="26" xfId="1" applyNumberFormat="1" applyFont="1" applyFill="1" applyBorder="1" applyAlignment="1" applyProtection="1">
      <alignment horizontal="right" vertical="top" wrapText="1"/>
      <protection locked="0"/>
    </xf>
    <xf numFmtId="165" fontId="4" fillId="4" borderId="25" xfId="1" applyNumberFormat="1" applyFont="1" applyFill="1" applyBorder="1" applyAlignment="1" applyProtection="1">
      <alignment horizontal="right" vertical="top" wrapText="1"/>
      <protection locked="0"/>
    </xf>
    <xf numFmtId="165" fontId="4" fillId="4" borderId="36" xfId="1" applyNumberFormat="1" applyFont="1" applyFill="1" applyBorder="1" applyAlignment="1" applyProtection="1">
      <alignment horizontal="right" vertical="top" wrapText="1"/>
      <protection locked="0"/>
    </xf>
    <xf numFmtId="165" fontId="4" fillId="0" borderId="51" xfId="1" applyNumberFormat="1" applyFont="1" applyBorder="1" applyAlignment="1" applyProtection="1">
      <alignment horizontal="right" vertical="top" wrapText="1"/>
      <protection locked="0"/>
    </xf>
    <xf numFmtId="165" fontId="4" fillId="0" borderId="26" xfId="1" applyNumberFormat="1" applyFont="1" applyBorder="1" applyAlignment="1" applyProtection="1">
      <alignment horizontal="right" vertical="top" wrapText="1"/>
      <protection locked="0"/>
    </xf>
    <xf numFmtId="165" fontId="4" fillId="0" borderId="25" xfId="1" applyNumberFormat="1" applyFont="1" applyBorder="1" applyAlignment="1" applyProtection="1">
      <alignment horizontal="right" vertical="top" wrapText="1"/>
      <protection locked="0"/>
    </xf>
    <xf numFmtId="165" fontId="4" fillId="0" borderId="36" xfId="1" applyNumberFormat="1" applyFont="1" applyBorder="1" applyAlignment="1" applyProtection="1">
      <alignment horizontal="right" vertical="top" wrapText="1"/>
      <protection locked="0"/>
    </xf>
    <xf numFmtId="0" fontId="4" fillId="0" borderId="0" xfId="0" applyFont="1" applyAlignment="1">
      <alignment horizontal="left" indent="1"/>
    </xf>
    <xf numFmtId="165" fontId="4" fillId="0" borderId="0" xfId="0" applyNumberFormat="1" applyFont="1" applyAlignment="1">
      <alignment horizontal="left" indent="1"/>
    </xf>
    <xf numFmtId="165" fontId="9" fillId="7" borderId="0" xfId="1" applyNumberFormat="1" applyFont="1" applyFill="1"/>
    <xf numFmtId="165" fontId="4" fillId="7" borderId="0" xfId="1" applyNumberFormat="1" applyFont="1" applyFill="1"/>
    <xf numFmtId="0" fontId="4" fillId="7" borderId="0" xfId="0" applyFont="1" applyFill="1"/>
    <xf numFmtId="43" fontId="4" fillId="0" borderId="0" xfId="1" applyFont="1"/>
    <xf numFmtId="0" fontId="4" fillId="8" borderId="0" xfId="0" applyFont="1" applyFill="1"/>
    <xf numFmtId="0" fontId="5" fillId="9" borderId="1" xfId="0" applyFont="1" applyFill="1" applyBorder="1" applyAlignment="1">
      <alignment horizontal="left" indent="2"/>
    </xf>
    <xf numFmtId="0" fontId="3" fillId="8" borderId="0" xfId="0" applyFont="1" applyFill="1"/>
    <xf numFmtId="0" fontId="7" fillId="8" borderId="1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top" wrapText="1"/>
    </xf>
    <xf numFmtId="0" fontId="7" fillId="8" borderId="3" xfId="0" applyFont="1" applyFill="1" applyBorder="1" applyAlignment="1">
      <alignment horizontal="center" vertical="top" wrapText="1"/>
    </xf>
    <xf numFmtId="165" fontId="4" fillId="8" borderId="0" xfId="1" applyNumberFormat="1" applyFont="1" applyFill="1"/>
    <xf numFmtId="37" fontId="4" fillId="8" borderId="0" xfId="0" applyNumberFormat="1" applyFont="1" applyFill="1"/>
    <xf numFmtId="0" fontId="4" fillId="8" borderId="14" xfId="0" applyFont="1" applyFill="1" applyBorder="1" applyAlignment="1">
      <alignment horizontal="left" indent="1"/>
    </xf>
    <xf numFmtId="165" fontId="4" fillId="8" borderId="14" xfId="1" applyNumberFormat="1" applyFont="1" applyFill="1" applyBorder="1"/>
    <xf numFmtId="165" fontId="4" fillId="8" borderId="12" xfId="1" applyNumberFormat="1" applyFont="1" applyFill="1" applyBorder="1"/>
    <xf numFmtId="165" fontId="4" fillId="8" borderId="13" xfId="1" applyNumberFormat="1" applyFont="1" applyFill="1" applyBorder="1"/>
    <xf numFmtId="0" fontId="4" fillId="8" borderId="18" xfId="0" applyFont="1" applyFill="1" applyBorder="1" applyAlignment="1">
      <alignment horizontal="left" indent="1"/>
    </xf>
    <xf numFmtId="165" fontId="4" fillId="8" borderId="18" xfId="1" applyNumberFormat="1" applyFont="1" applyFill="1" applyBorder="1"/>
    <xf numFmtId="165" fontId="4" fillId="8" borderId="16" xfId="1" applyNumberFormat="1" applyFont="1" applyFill="1" applyBorder="1"/>
    <xf numFmtId="165" fontId="4" fillId="8" borderId="17" xfId="1" applyNumberFormat="1" applyFont="1" applyFill="1" applyBorder="1"/>
    <xf numFmtId="0" fontId="4" fillId="8" borderId="28" xfId="0" applyFont="1" applyFill="1" applyBorder="1" applyAlignment="1">
      <alignment horizontal="left" indent="1"/>
    </xf>
    <xf numFmtId="165" fontId="4" fillId="8" borderId="28" xfId="1" applyNumberFormat="1" applyFont="1" applyFill="1" applyBorder="1"/>
    <xf numFmtId="165" fontId="4" fillId="8" borderId="26" xfId="1" applyNumberFormat="1" applyFont="1" applyFill="1" applyBorder="1"/>
    <xf numFmtId="165" fontId="4" fillId="8" borderId="36" xfId="1" applyNumberFormat="1" applyFont="1" applyFill="1" applyBorder="1"/>
    <xf numFmtId="0" fontId="7" fillId="6" borderId="2" xfId="0" applyFont="1" applyFill="1" applyBorder="1"/>
    <xf numFmtId="165" fontId="7" fillId="6" borderId="2" xfId="1" applyNumberFormat="1" applyFont="1" applyFill="1" applyBorder="1"/>
    <xf numFmtId="165" fontId="7" fillId="6" borderId="3" xfId="1" applyNumberFormat="1" applyFont="1" applyFill="1" applyBorder="1"/>
    <xf numFmtId="165" fontId="7" fillId="6" borderId="5" xfId="1" applyNumberFormat="1" applyFont="1" applyFill="1" applyBorder="1"/>
    <xf numFmtId="0" fontId="4" fillId="8" borderId="35" xfId="0" applyFont="1" applyFill="1" applyBorder="1" applyAlignment="1">
      <alignment horizontal="left" indent="1"/>
    </xf>
    <xf numFmtId="165" fontId="4" fillId="8" borderId="35" xfId="1" applyNumberFormat="1" applyFont="1" applyFill="1" applyBorder="1"/>
    <xf numFmtId="165" fontId="4" fillId="8" borderId="32" xfId="1" applyNumberFormat="1" applyFont="1" applyFill="1" applyBorder="1"/>
    <xf numFmtId="165" fontId="4" fillId="8" borderId="34" xfId="1" applyNumberFormat="1" applyFont="1" applyFill="1" applyBorder="1"/>
    <xf numFmtId="0" fontId="7" fillId="6" borderId="28" xfId="0" applyFont="1" applyFill="1" applyBorder="1"/>
    <xf numFmtId="165" fontId="7" fillId="6" borderId="28" xfId="1" applyNumberFormat="1" applyFont="1" applyFill="1" applyBorder="1"/>
    <xf numFmtId="165" fontId="7" fillId="6" borderId="26" xfId="1" applyNumberFormat="1" applyFont="1" applyFill="1" applyBorder="1"/>
    <xf numFmtId="165" fontId="7" fillId="6" borderId="36" xfId="1" applyNumberFormat="1" applyFont="1" applyFill="1" applyBorder="1"/>
    <xf numFmtId="0" fontId="7" fillId="6" borderId="2" xfId="0" applyFont="1" applyFill="1" applyBorder="1" applyAlignment="1">
      <alignment horizontal="left" indent="1"/>
    </xf>
    <xf numFmtId="0" fontId="4" fillId="8" borderId="23" xfId="0" applyFont="1" applyFill="1" applyBorder="1" applyAlignment="1">
      <alignment horizontal="left" indent="1"/>
    </xf>
    <xf numFmtId="165" fontId="4" fillId="8" borderId="23" xfId="1" applyNumberFormat="1" applyFont="1" applyFill="1" applyBorder="1"/>
    <xf numFmtId="165" fontId="4" fillId="8" borderId="21" xfId="1" applyNumberFormat="1" applyFont="1" applyFill="1" applyBorder="1"/>
    <xf numFmtId="165" fontId="4" fillId="8" borderId="22" xfId="1" applyNumberFormat="1" applyFont="1" applyFill="1" applyBorder="1"/>
    <xf numFmtId="165" fontId="4" fillId="8" borderId="0" xfId="0" applyNumberFormat="1" applyFont="1" applyFill="1"/>
    <xf numFmtId="0" fontId="7" fillId="6" borderId="2" xfId="0" applyFont="1" applyFill="1" applyBorder="1" applyAlignment="1">
      <alignment vertical="top" wrapText="1"/>
    </xf>
    <xf numFmtId="0" fontId="4" fillId="8" borderId="28" xfId="0" applyFont="1" applyFill="1" applyBorder="1"/>
    <xf numFmtId="0" fontId="4" fillId="8" borderId="25" xfId="0" applyFont="1" applyFill="1" applyBorder="1"/>
    <xf numFmtId="0" fontId="4" fillId="8" borderId="14" xfId="0" applyFont="1" applyFill="1" applyBorder="1" applyAlignment="1">
      <alignment horizontal="left" vertical="top" wrapText="1" indent="1"/>
    </xf>
    <xf numFmtId="42" fontId="4" fillId="8" borderId="14" xfId="3" applyFont="1" applyFill="1" applyBorder="1"/>
    <xf numFmtId="167" fontId="4" fillId="8" borderId="12" xfId="1" applyNumberFormat="1" applyFont="1" applyFill="1" applyBorder="1" applyAlignment="1">
      <alignment horizontal="right"/>
    </xf>
    <xf numFmtId="167" fontId="4" fillId="8" borderId="11" xfId="1" applyNumberFormat="1" applyFont="1" applyFill="1" applyBorder="1" applyAlignment="1">
      <alignment horizontal="right"/>
    </xf>
    <xf numFmtId="167" fontId="4" fillId="8" borderId="13" xfId="1" applyNumberFormat="1" applyFont="1" applyFill="1" applyBorder="1" applyAlignment="1">
      <alignment horizontal="right"/>
    </xf>
    <xf numFmtId="0" fontId="4" fillId="8" borderId="18" xfId="0" applyFont="1" applyFill="1" applyBorder="1" applyAlignment="1">
      <alignment horizontal="left" vertical="top" wrapText="1" indent="1"/>
    </xf>
    <xf numFmtId="167" fontId="4" fillId="8" borderId="18" xfId="1" applyNumberFormat="1" applyFont="1" applyFill="1" applyBorder="1"/>
    <xf numFmtId="167" fontId="4" fillId="8" borderId="16" xfId="1" applyNumberFormat="1" applyFont="1" applyFill="1" applyBorder="1"/>
    <xf numFmtId="167" fontId="4" fillId="8" borderId="16" xfId="1" applyNumberFormat="1" applyFont="1" applyFill="1" applyBorder="1" applyAlignment="1">
      <alignment horizontal="right"/>
    </xf>
    <xf numFmtId="167" fontId="4" fillId="8" borderId="0" xfId="1" applyNumberFormat="1" applyFont="1" applyFill="1" applyAlignment="1">
      <alignment horizontal="right"/>
    </xf>
    <xf numFmtId="167" fontId="4" fillId="8" borderId="17" xfId="1" applyNumberFormat="1" applyFont="1" applyFill="1" applyBorder="1" applyAlignment="1">
      <alignment horizontal="right"/>
    </xf>
    <xf numFmtId="0" fontId="4" fillId="8" borderId="23" xfId="0" applyFont="1" applyFill="1" applyBorder="1" applyAlignment="1">
      <alignment horizontal="left" vertical="top" wrapText="1" indent="1"/>
    </xf>
    <xf numFmtId="167" fontId="4" fillId="8" borderId="23" xfId="1" applyNumberFormat="1" applyFont="1" applyFill="1" applyBorder="1"/>
    <xf numFmtId="167" fontId="4" fillId="8" borderId="21" xfId="1" applyNumberFormat="1" applyFont="1" applyFill="1" applyBorder="1" applyAlignment="1">
      <alignment horizontal="right"/>
    </xf>
    <xf numFmtId="167" fontId="4" fillId="8" borderId="20" xfId="1" applyNumberFormat="1" applyFont="1" applyFill="1" applyBorder="1" applyAlignment="1">
      <alignment horizontal="right"/>
    </xf>
    <xf numFmtId="167" fontId="4" fillId="8" borderId="22" xfId="1" applyNumberFormat="1" applyFont="1" applyFill="1" applyBorder="1" applyAlignment="1">
      <alignment horizontal="right"/>
    </xf>
    <xf numFmtId="0" fontId="7" fillId="6" borderId="28" xfId="0" applyFont="1" applyFill="1" applyBorder="1" applyAlignment="1">
      <alignment vertical="top" wrapText="1"/>
    </xf>
    <xf numFmtId="167" fontId="7" fillId="6" borderId="28" xfId="1" applyNumberFormat="1" applyFont="1" applyFill="1" applyBorder="1"/>
    <xf numFmtId="167" fontId="7" fillId="6" borderId="26" xfId="1" applyNumberFormat="1" applyFont="1" applyFill="1" applyBorder="1"/>
    <xf numFmtId="167" fontId="7" fillId="6" borderId="25" xfId="1" applyNumberFormat="1" applyFont="1" applyFill="1" applyBorder="1"/>
    <xf numFmtId="167" fontId="7" fillId="6" borderId="36" xfId="1" applyNumberFormat="1" applyFont="1" applyFill="1" applyBorder="1"/>
    <xf numFmtId="0" fontId="4" fillId="8" borderId="10" xfId="0" applyFont="1" applyFill="1" applyBorder="1" applyAlignment="1">
      <alignment horizontal="left" vertical="top" wrapText="1" indent="1"/>
    </xf>
    <xf numFmtId="165" fontId="3" fillId="8" borderId="28" xfId="1" applyNumberFormat="1" applyFont="1" applyFill="1" applyBorder="1" applyAlignment="1">
      <alignment horizontal="center" vertical="top" wrapText="1"/>
    </xf>
    <xf numFmtId="165" fontId="3" fillId="8" borderId="25" xfId="1" applyNumberFormat="1" applyFont="1" applyFill="1" applyBorder="1" applyAlignment="1">
      <alignment horizontal="center" vertical="top" wrapText="1"/>
    </xf>
    <xf numFmtId="42" fontId="4" fillId="8" borderId="14" xfId="3" applyFont="1" applyFill="1" applyBorder="1" applyAlignment="1">
      <alignment vertical="top" wrapText="1"/>
    </xf>
    <xf numFmtId="167" fontId="4" fillId="8" borderId="12" xfId="1" applyNumberFormat="1" applyFont="1" applyFill="1" applyBorder="1" applyAlignment="1">
      <alignment horizontal="right" vertical="top" wrapText="1"/>
    </xf>
    <xf numFmtId="167" fontId="4" fillId="8" borderId="11" xfId="1" applyNumberFormat="1" applyFont="1" applyFill="1" applyBorder="1" applyAlignment="1">
      <alignment horizontal="right" vertical="top" wrapText="1"/>
    </xf>
    <xf numFmtId="167" fontId="4" fillId="8" borderId="13" xfId="1" applyNumberFormat="1" applyFont="1" applyFill="1" applyBorder="1" applyAlignment="1">
      <alignment horizontal="right" vertical="top" wrapText="1"/>
    </xf>
    <xf numFmtId="167" fontId="4" fillId="8" borderId="18" xfId="1" applyNumberFormat="1" applyFont="1" applyFill="1" applyBorder="1" applyAlignment="1">
      <alignment vertical="top" wrapText="1"/>
    </xf>
    <xf numFmtId="167" fontId="4" fillId="8" borderId="16" xfId="1" applyNumberFormat="1" applyFont="1" applyFill="1" applyBorder="1" applyAlignment="1">
      <alignment horizontal="right" vertical="top" wrapText="1"/>
    </xf>
    <xf numFmtId="167" fontId="4" fillId="8" borderId="0" xfId="1" applyNumberFormat="1" applyFont="1" applyFill="1" applyAlignment="1">
      <alignment horizontal="right" vertical="top" wrapText="1"/>
    </xf>
    <xf numFmtId="167" fontId="4" fillId="8" borderId="17" xfId="1" applyNumberFormat="1" applyFont="1" applyFill="1" applyBorder="1" applyAlignment="1">
      <alignment horizontal="right" vertical="top" wrapText="1"/>
    </xf>
    <xf numFmtId="167" fontId="4" fillId="8" borderId="23" xfId="1" applyNumberFormat="1" applyFont="1" applyFill="1" applyBorder="1" applyAlignment="1">
      <alignment vertical="top" wrapText="1"/>
    </xf>
    <xf numFmtId="167" fontId="4" fillId="8" borderId="21" xfId="1" applyNumberFormat="1" applyFont="1" applyFill="1" applyBorder="1" applyAlignment="1">
      <alignment horizontal="right" vertical="top" wrapText="1"/>
    </xf>
    <xf numFmtId="167" fontId="4" fillId="8" borderId="20" xfId="1" applyNumberFormat="1" applyFont="1" applyFill="1" applyBorder="1" applyAlignment="1">
      <alignment horizontal="right" vertical="top" wrapText="1"/>
    </xf>
    <xf numFmtId="167" fontId="4" fillId="8" borderId="22" xfId="1" applyNumberFormat="1" applyFont="1" applyFill="1" applyBorder="1" applyAlignment="1">
      <alignment horizontal="right" vertical="top" wrapText="1"/>
    </xf>
    <xf numFmtId="167" fontId="7" fillId="6" borderId="28" xfId="1" applyNumberFormat="1" applyFont="1" applyFill="1" applyBorder="1" applyAlignment="1">
      <alignment vertical="top" wrapText="1"/>
    </xf>
    <xf numFmtId="167" fontId="7" fillId="6" borderId="26" xfId="1" applyNumberFormat="1" applyFont="1" applyFill="1" applyBorder="1" applyAlignment="1">
      <alignment horizontal="right" vertical="top" wrapText="1"/>
    </xf>
    <xf numFmtId="167" fontId="7" fillId="6" borderId="25" xfId="1" applyNumberFormat="1" applyFont="1" applyFill="1" applyBorder="1" applyAlignment="1">
      <alignment horizontal="right" vertical="top" wrapText="1"/>
    </xf>
    <xf numFmtId="167" fontId="7" fillId="6" borderId="36" xfId="1" applyNumberFormat="1" applyFont="1" applyFill="1" applyBorder="1" applyAlignment="1">
      <alignment horizontal="right" vertical="top" wrapText="1"/>
    </xf>
    <xf numFmtId="0" fontId="7" fillId="6" borderId="18" xfId="0" applyFont="1" applyFill="1" applyBorder="1" applyAlignment="1">
      <alignment vertical="top" wrapText="1"/>
    </xf>
    <xf numFmtId="167" fontId="7" fillId="6" borderId="52" xfId="1" applyNumberFormat="1" applyFont="1" applyFill="1" applyBorder="1" applyAlignment="1">
      <alignment vertical="top" wrapText="1"/>
    </xf>
    <xf numFmtId="167" fontId="7" fillId="6" borderId="29" xfId="1" applyNumberFormat="1" applyFont="1" applyFill="1" applyBorder="1" applyAlignment="1">
      <alignment horizontal="right" vertical="top" wrapText="1"/>
    </xf>
    <xf numFmtId="167" fontId="7" fillId="6" borderId="53" xfId="1" applyNumberFormat="1" applyFont="1" applyFill="1" applyBorder="1" applyAlignment="1">
      <alignment horizontal="right" vertical="top" wrapText="1"/>
    </xf>
    <xf numFmtId="167" fontId="7" fillId="6" borderId="54" xfId="1" applyNumberFormat="1" applyFont="1" applyFill="1" applyBorder="1" applyAlignment="1">
      <alignment horizontal="right" vertical="top" wrapText="1"/>
    </xf>
    <xf numFmtId="0" fontId="7" fillId="8" borderId="11" xfId="0" applyFont="1" applyFill="1" applyBorder="1" applyAlignment="1">
      <alignment vertical="top" wrapText="1"/>
    </xf>
    <xf numFmtId="165" fontId="7" fillId="6" borderId="2" xfId="1" applyNumberFormat="1" applyFont="1" applyFill="1" applyBorder="1" applyAlignment="1">
      <alignment vertical="top" wrapText="1"/>
    </xf>
    <xf numFmtId="165" fontId="7" fillId="6" borderId="3" xfId="1" applyNumberFormat="1" applyFont="1" applyFill="1" applyBorder="1" applyAlignment="1">
      <alignment horizontal="right" vertical="top" wrapText="1"/>
    </xf>
    <xf numFmtId="165" fontId="7" fillId="6" borderId="4" xfId="1" applyNumberFormat="1" applyFont="1" applyFill="1" applyBorder="1" applyAlignment="1">
      <alignment horizontal="right" vertical="top" wrapText="1"/>
    </xf>
    <xf numFmtId="165" fontId="7" fillId="6" borderId="5" xfId="1" applyNumberFormat="1" applyFont="1" applyFill="1" applyBorder="1" applyAlignment="1">
      <alignment horizontal="right" vertical="top" wrapText="1"/>
    </xf>
    <xf numFmtId="168" fontId="4" fillId="8" borderId="0" xfId="0" applyNumberFormat="1" applyFont="1" applyFill="1"/>
    <xf numFmtId="0" fontId="7" fillId="10" borderId="1" xfId="0" applyFont="1" applyFill="1" applyBorder="1" applyAlignment="1">
      <alignment horizontal="left" indent="2"/>
    </xf>
    <xf numFmtId="0" fontId="4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3" fillId="6" borderId="1" xfId="0" applyFont="1" applyFill="1" applyBorder="1" applyAlignment="1">
      <alignment horizontal="center" vertical="top" wrapText="1"/>
    </xf>
    <xf numFmtId="0" fontId="4" fillId="8" borderId="0" xfId="0" applyFont="1" applyFill="1" applyAlignment="1">
      <alignment vertical="center"/>
    </xf>
    <xf numFmtId="169" fontId="3" fillId="8" borderId="11" xfId="0" applyNumberFormat="1" applyFont="1" applyFill="1" applyBorder="1" applyAlignment="1">
      <alignment horizontal="center" vertical="top" wrapText="1"/>
    </xf>
    <xf numFmtId="166" fontId="4" fillId="8" borderId="10" xfId="4" applyNumberFormat="1" applyFont="1" applyFill="1" applyBorder="1"/>
    <xf numFmtId="166" fontId="4" fillId="8" borderId="14" xfId="4" applyNumberFormat="1" applyFont="1" applyFill="1" applyBorder="1"/>
    <xf numFmtId="165" fontId="4" fillId="8" borderId="56" xfId="1" applyNumberFormat="1" applyFont="1" applyFill="1" applyBorder="1"/>
    <xf numFmtId="166" fontId="4" fillId="8" borderId="13" xfId="4" applyNumberFormat="1" applyFont="1" applyFill="1" applyBorder="1"/>
    <xf numFmtId="166" fontId="4" fillId="8" borderId="15" xfId="4" applyNumberFormat="1" applyFont="1" applyFill="1" applyBorder="1"/>
    <xf numFmtId="166" fontId="4" fillId="8" borderId="18" xfId="4" applyNumberFormat="1" applyFont="1" applyFill="1" applyBorder="1"/>
    <xf numFmtId="165" fontId="4" fillId="8" borderId="57" xfId="1" applyNumberFormat="1" applyFont="1" applyFill="1" applyBorder="1"/>
    <xf numFmtId="166" fontId="4" fillId="8" borderId="17" xfId="4" applyNumberFormat="1" applyFont="1" applyFill="1" applyBorder="1"/>
    <xf numFmtId="0" fontId="3" fillId="6" borderId="2" xfId="0" applyFont="1" applyFill="1" applyBorder="1"/>
    <xf numFmtId="166" fontId="3" fillId="6" borderId="1" xfId="4" applyNumberFormat="1" applyFont="1" applyFill="1" applyBorder="1"/>
    <xf numFmtId="166" fontId="3" fillId="6" borderId="2" xfId="4" applyNumberFormat="1" applyFont="1" applyFill="1" applyBorder="1"/>
    <xf numFmtId="165" fontId="3" fillId="6" borderId="58" xfId="1" applyNumberFormat="1" applyFont="1" applyFill="1" applyBorder="1"/>
    <xf numFmtId="166" fontId="3" fillId="6" borderId="5" xfId="4" applyNumberFormat="1" applyFont="1" applyFill="1" applyBorder="1"/>
    <xf numFmtId="166" fontId="4" fillId="8" borderId="30" xfId="4" applyNumberFormat="1" applyFont="1" applyFill="1" applyBorder="1"/>
    <xf numFmtId="166" fontId="4" fillId="8" borderId="35" xfId="4" applyNumberFormat="1" applyFont="1" applyFill="1" applyBorder="1"/>
    <xf numFmtId="165" fontId="4" fillId="8" borderId="59" xfId="1" applyNumberFormat="1" applyFont="1" applyFill="1" applyBorder="1"/>
    <xf numFmtId="166" fontId="4" fillId="8" borderId="34" xfId="4" applyNumberFormat="1" applyFont="1" applyFill="1" applyBorder="1"/>
    <xf numFmtId="0" fontId="3" fillId="6" borderId="28" xfId="0" applyFont="1" applyFill="1" applyBorder="1"/>
    <xf numFmtId="166" fontId="3" fillId="6" borderId="24" xfId="4" applyNumberFormat="1" applyFont="1" applyFill="1" applyBorder="1"/>
    <xf numFmtId="166" fontId="3" fillId="6" borderId="28" xfId="4" applyNumberFormat="1" applyFont="1" applyFill="1" applyBorder="1"/>
    <xf numFmtId="165" fontId="3" fillId="6" borderId="60" xfId="1" applyNumberFormat="1" applyFont="1" applyFill="1" applyBorder="1"/>
    <xf numFmtId="166" fontId="3" fillId="6" borderId="36" xfId="4" applyNumberFormat="1" applyFont="1" applyFill="1" applyBorder="1"/>
    <xf numFmtId="0" fontId="3" fillId="6" borderId="2" xfId="0" applyFont="1" applyFill="1" applyBorder="1" applyAlignment="1">
      <alignment horizontal="left" indent="1"/>
    </xf>
    <xf numFmtId="166" fontId="4" fillId="8" borderId="19" xfId="4" applyNumberFormat="1" applyFont="1" applyFill="1" applyBorder="1"/>
    <xf numFmtId="166" fontId="4" fillId="8" borderId="23" xfId="4" applyNumberFormat="1" applyFont="1" applyFill="1" applyBorder="1"/>
    <xf numFmtId="165" fontId="4" fillId="8" borderId="61" xfId="1" applyNumberFormat="1" applyFont="1" applyFill="1" applyBorder="1"/>
    <xf numFmtId="166" fontId="4" fillId="8" borderId="22" xfId="4" applyNumberFormat="1" applyFont="1" applyFill="1" applyBorder="1"/>
    <xf numFmtId="169" fontId="3" fillId="8" borderId="0" xfId="0" applyNumberFormat="1" applyFont="1" applyFill="1" applyAlignment="1">
      <alignment horizontal="center" vertical="top" wrapText="1"/>
    </xf>
    <xf numFmtId="0" fontId="4" fillId="8" borderId="10" xfId="0" applyFont="1" applyFill="1" applyBorder="1" applyAlignment="1">
      <alignment horizontal="left" indent="1"/>
    </xf>
    <xf numFmtId="166" fontId="4" fillId="8" borderId="62" xfId="4" applyNumberFormat="1" applyFont="1" applyFill="1" applyBorder="1"/>
    <xf numFmtId="0" fontId="4" fillId="8" borderId="15" xfId="0" applyFont="1" applyFill="1" applyBorder="1" applyAlignment="1">
      <alignment horizontal="left" indent="1"/>
    </xf>
    <xf numFmtId="166" fontId="4" fillId="8" borderId="63" xfId="4" applyNumberFormat="1" applyFont="1" applyFill="1" applyBorder="1"/>
    <xf numFmtId="0" fontId="3" fillId="6" borderId="1" xfId="0" applyFont="1" applyFill="1" applyBorder="1"/>
    <xf numFmtId="166" fontId="3" fillId="6" borderId="64" xfId="4" applyNumberFormat="1" applyFont="1" applyFill="1" applyBorder="1"/>
    <xf numFmtId="0" fontId="4" fillId="8" borderId="30" xfId="0" applyFont="1" applyFill="1" applyBorder="1" applyAlignment="1">
      <alignment horizontal="left" indent="1"/>
    </xf>
    <xf numFmtId="166" fontId="4" fillId="8" borderId="65" xfId="4" applyNumberFormat="1" applyFont="1" applyFill="1" applyBorder="1"/>
    <xf numFmtId="166" fontId="4" fillId="8" borderId="66" xfId="4" applyNumberFormat="1" applyFont="1" applyFill="1" applyBorder="1"/>
    <xf numFmtId="166" fontId="3" fillId="6" borderId="67" xfId="4" applyNumberFormat="1" applyFont="1" applyFill="1" applyBorder="1"/>
    <xf numFmtId="0" fontId="3" fillId="6" borderId="1" xfId="0" applyFont="1" applyFill="1" applyBorder="1" applyAlignment="1">
      <alignment horizontal="left" indent="1"/>
    </xf>
    <xf numFmtId="165" fontId="3" fillId="6" borderId="3" xfId="1" applyNumberFormat="1" applyFont="1" applyFill="1" applyBorder="1"/>
    <xf numFmtId="166" fontId="4" fillId="8" borderId="68" xfId="4" applyNumberFormat="1" applyFont="1" applyFill="1" applyBorder="1"/>
    <xf numFmtId="0" fontId="4" fillId="8" borderId="19" xfId="0" applyFont="1" applyFill="1" applyBorder="1" applyAlignment="1">
      <alignment horizontal="left" indent="1"/>
    </xf>
    <xf numFmtId="166" fontId="4" fillId="8" borderId="69" xfId="4" applyNumberFormat="1" applyFont="1" applyFill="1" applyBorder="1"/>
    <xf numFmtId="0" fontId="9" fillId="8" borderId="0" xfId="0" applyFont="1" applyFill="1" applyAlignment="1">
      <alignment vertical="center"/>
    </xf>
    <xf numFmtId="0" fontId="3" fillId="8" borderId="28" xfId="0" applyFont="1" applyFill="1" applyBorder="1"/>
    <xf numFmtId="0" fontId="7" fillId="8" borderId="70" xfId="0" applyFont="1" applyFill="1" applyBorder="1" applyAlignment="1">
      <alignment horizontal="center" vertical="top" wrapText="1"/>
    </xf>
    <xf numFmtId="0" fontId="7" fillId="8" borderId="58" xfId="0" applyFont="1" applyFill="1" applyBorder="1" applyAlignment="1">
      <alignment horizontal="center" vertical="top" wrapText="1"/>
    </xf>
    <xf numFmtId="0" fontId="11" fillId="12" borderId="1" xfId="0" applyFont="1" applyFill="1" applyBorder="1"/>
    <xf numFmtId="0" fontId="4" fillId="8" borderId="71" xfId="0" applyFont="1" applyFill="1" applyBorder="1" applyAlignment="1">
      <alignment horizontal="left" indent="1"/>
    </xf>
    <xf numFmtId="166" fontId="4" fillId="8" borderId="72" xfId="4" applyNumberFormat="1" applyFont="1" applyFill="1" applyBorder="1" applyAlignment="1">
      <alignment horizontal="right"/>
    </xf>
    <xf numFmtId="0" fontId="4" fillId="14" borderId="76" xfId="0" applyFont="1" applyFill="1" applyBorder="1" applyAlignment="1">
      <alignment horizontal="left" indent="1"/>
    </xf>
    <xf numFmtId="170" fontId="4" fillId="14" borderId="77" xfId="4" applyNumberFormat="1" applyFont="1" applyFill="1" applyBorder="1" applyAlignment="1">
      <alignment horizontal="right"/>
    </xf>
    <xf numFmtId="0" fontId="3" fillId="8" borderId="76" xfId="0" applyFont="1" applyFill="1" applyBorder="1" applyAlignment="1">
      <alignment horizontal="left" indent="1"/>
    </xf>
    <xf numFmtId="166" fontId="3" fillId="8" borderId="77" xfId="4" applyNumberFormat="1" applyFont="1" applyFill="1" applyBorder="1" applyAlignment="1">
      <alignment horizontal="right"/>
    </xf>
    <xf numFmtId="0" fontId="3" fillId="8" borderId="81" xfId="0" applyFont="1" applyFill="1" applyBorder="1" applyAlignment="1">
      <alignment horizontal="left" indent="1"/>
    </xf>
    <xf numFmtId="166" fontId="3" fillId="8" borderId="82" xfId="4" applyNumberFormat="1" applyFont="1" applyFill="1" applyBorder="1" applyAlignment="1">
      <alignment horizontal="right"/>
    </xf>
    <xf numFmtId="0" fontId="11" fillId="15" borderId="1" xfId="0" applyFont="1" applyFill="1" applyBorder="1"/>
    <xf numFmtId="171" fontId="4" fillId="8" borderId="72" xfId="2" applyNumberFormat="1" applyFont="1" applyFill="1" applyBorder="1"/>
    <xf numFmtId="165" fontId="4" fillId="14" borderId="77" xfId="1" applyNumberFormat="1" applyFont="1" applyFill="1" applyBorder="1" applyAlignment="1">
      <alignment horizontal="center"/>
    </xf>
    <xf numFmtId="166" fontId="4" fillId="14" borderId="78" xfId="4" applyNumberFormat="1" applyFont="1" applyFill="1" applyBorder="1"/>
    <xf numFmtId="166" fontId="4" fillId="14" borderId="79" xfId="4" applyNumberFormat="1" applyFont="1" applyFill="1" applyBorder="1"/>
    <xf numFmtId="166" fontId="4" fillId="14" borderId="80" xfId="4" applyNumberFormat="1" applyFont="1" applyFill="1" applyBorder="1"/>
    <xf numFmtId="0" fontId="4" fillId="8" borderId="76" xfId="0" applyFont="1" applyFill="1" applyBorder="1" applyAlignment="1">
      <alignment horizontal="left" indent="1"/>
    </xf>
    <xf numFmtId="171" fontId="4" fillId="8" borderId="77" xfId="2" applyNumberFormat="1" applyFont="1" applyFill="1" applyBorder="1" applyAlignment="1">
      <alignment horizontal="center"/>
    </xf>
    <xf numFmtId="171" fontId="4" fillId="8" borderId="78" xfId="2" applyNumberFormat="1" applyFont="1" applyFill="1" applyBorder="1"/>
    <xf numFmtId="166" fontId="4" fillId="14" borderId="77" xfId="4" applyNumberFormat="1" applyFont="1" applyFill="1" applyBorder="1" applyAlignment="1">
      <alignment horizontal="right"/>
    </xf>
    <xf numFmtId="165" fontId="4" fillId="8" borderId="77" xfId="1" applyNumberFormat="1" applyFont="1" applyFill="1" applyBorder="1" applyAlignment="1">
      <alignment horizontal="center"/>
    </xf>
    <xf numFmtId="166" fontId="4" fillId="8" borderId="78" xfId="4" applyNumberFormat="1" applyFont="1" applyFill="1" applyBorder="1"/>
    <xf numFmtId="166" fontId="4" fillId="8" borderId="79" xfId="4" applyNumberFormat="1" applyFont="1" applyFill="1" applyBorder="1"/>
    <xf numFmtId="166" fontId="4" fillId="8" borderId="80" xfId="4" applyNumberFormat="1" applyFont="1" applyFill="1" applyBorder="1"/>
    <xf numFmtId="171" fontId="4" fillId="14" borderId="77" xfId="2" applyNumberFormat="1" applyFont="1" applyFill="1" applyBorder="1"/>
    <xf numFmtId="0" fontId="4" fillId="0" borderId="76" xfId="0" applyFont="1" applyBorder="1" applyAlignment="1">
      <alignment horizontal="left" indent="1"/>
    </xf>
    <xf numFmtId="166" fontId="4" fillId="0" borderId="77" xfId="4" applyNumberFormat="1" applyFont="1" applyBorder="1"/>
    <xf numFmtId="166" fontId="4" fillId="0" borderId="78" xfId="4" applyNumberFormat="1" applyFont="1" applyBorder="1"/>
    <xf numFmtId="166" fontId="4" fillId="0" borderId="79" xfId="4" applyNumberFormat="1" applyFont="1" applyBorder="1"/>
    <xf numFmtId="166" fontId="4" fillId="0" borderId="80" xfId="4" applyNumberFormat="1" applyFont="1" applyBorder="1"/>
    <xf numFmtId="171" fontId="4" fillId="0" borderId="77" xfId="2" applyNumberFormat="1" applyFont="1" applyBorder="1" applyAlignment="1">
      <alignment horizontal="center"/>
    </xf>
    <xf numFmtId="171" fontId="4" fillId="0" borderId="78" xfId="2" applyNumberFormat="1" applyFont="1" applyBorder="1"/>
    <xf numFmtId="165" fontId="4" fillId="0" borderId="77" xfId="1" applyNumberFormat="1" applyFont="1" applyBorder="1" applyAlignment="1">
      <alignment horizontal="center"/>
    </xf>
    <xf numFmtId="166" fontId="4" fillId="14" borderId="78" xfId="1" applyNumberFormat="1" applyFont="1" applyFill="1" applyBorder="1"/>
    <xf numFmtId="166" fontId="4" fillId="14" borderId="79" xfId="1" applyNumberFormat="1" applyFont="1" applyFill="1" applyBorder="1"/>
    <xf numFmtId="166" fontId="4" fillId="14" borderId="80" xfId="1" applyNumberFormat="1" applyFont="1" applyFill="1" applyBorder="1"/>
    <xf numFmtId="0" fontId="4" fillId="16" borderId="81" xfId="0" applyFont="1" applyFill="1" applyBorder="1" applyAlignment="1">
      <alignment horizontal="left" indent="1"/>
    </xf>
    <xf numFmtId="166" fontId="4" fillId="16" borderId="82" xfId="4" applyNumberFormat="1" applyFont="1" applyFill="1" applyBorder="1" applyAlignment="1">
      <alignment horizontal="right"/>
    </xf>
    <xf numFmtId="0" fontId="11" fillId="17" borderId="1" xfId="0" applyFont="1" applyFill="1" applyBorder="1"/>
    <xf numFmtId="0" fontId="4" fillId="8" borderId="72" xfId="1" applyNumberFormat="1" applyFont="1" applyFill="1" applyBorder="1" applyAlignment="1">
      <alignment horizontal="right"/>
    </xf>
    <xf numFmtId="0" fontId="4" fillId="14" borderId="77" xfId="1" applyNumberFormat="1" applyFont="1" applyFill="1" applyBorder="1" applyAlignment="1">
      <alignment horizontal="right"/>
    </xf>
    <xf numFmtId="0" fontId="3" fillId="0" borderId="2" xfId="0" applyFont="1" applyBorder="1" applyAlignment="1">
      <alignment horizontal="left" indent="1"/>
    </xf>
    <xf numFmtId="0" fontId="3" fillId="0" borderId="86" xfId="1" applyNumberFormat="1" applyFont="1" applyBorder="1" applyAlignment="1">
      <alignment horizontal="right"/>
    </xf>
    <xf numFmtId="0" fontId="4" fillId="8" borderId="87" xfId="0" applyFont="1" applyFill="1" applyBorder="1" applyAlignment="1">
      <alignment horizontal="left" indent="1"/>
    </xf>
    <xf numFmtId="0" fontId="4" fillId="8" borderId="88" xfId="1" applyNumberFormat="1" applyFont="1" applyFill="1" applyBorder="1" applyAlignment="1">
      <alignment horizontal="right"/>
    </xf>
    <xf numFmtId="0" fontId="3" fillId="14" borderId="28" xfId="0" applyFont="1" applyFill="1" applyBorder="1" applyAlignment="1">
      <alignment horizontal="left" indent="1"/>
    </xf>
    <xf numFmtId="0" fontId="3" fillId="14" borderId="51" xfId="1" applyNumberFormat="1" applyFont="1" applyFill="1" applyBorder="1" applyAlignment="1">
      <alignment horizontal="right"/>
    </xf>
    <xf numFmtId="0" fontId="4" fillId="14" borderId="89" xfId="0" applyFont="1" applyFill="1" applyBorder="1" applyAlignment="1">
      <alignment horizontal="left" indent="1"/>
    </xf>
    <xf numFmtId="170" fontId="4" fillId="14" borderId="90" xfId="1" applyNumberFormat="1" applyFont="1" applyFill="1" applyBorder="1" applyAlignment="1">
      <alignment horizontal="right"/>
    </xf>
    <xf numFmtId="170" fontId="4" fillId="0" borderId="77" xfId="1" applyNumberFormat="1" applyFont="1" applyBorder="1" applyAlignment="1">
      <alignment horizontal="right"/>
    </xf>
    <xf numFmtId="170" fontId="4" fillId="14" borderId="77" xfId="1" applyNumberFormat="1" applyFont="1" applyFill="1" applyBorder="1" applyAlignment="1">
      <alignment horizontal="right"/>
    </xf>
    <xf numFmtId="0" fontId="4" fillId="0" borderId="81" xfId="0" applyFont="1" applyBorder="1" applyAlignment="1">
      <alignment horizontal="left" indent="1"/>
    </xf>
    <xf numFmtId="170" fontId="4" fillId="0" borderId="82" xfId="1" applyNumberFormat="1" applyFont="1" applyBorder="1"/>
    <xf numFmtId="0" fontId="11" fillId="2" borderId="1" xfId="0" applyFont="1" applyFill="1" applyBorder="1"/>
    <xf numFmtId="170" fontId="4" fillId="8" borderId="72" xfId="1" applyNumberFormat="1" applyFont="1" applyFill="1" applyBorder="1"/>
    <xf numFmtId="170" fontId="4" fillId="14" borderId="77" xfId="1" applyNumberFormat="1" applyFont="1" applyFill="1" applyBorder="1"/>
    <xf numFmtId="170" fontId="4" fillId="14" borderId="78" xfId="1" applyNumberFormat="1" applyFont="1" applyFill="1" applyBorder="1"/>
    <xf numFmtId="170" fontId="4" fillId="14" borderId="79" xfId="1" applyNumberFormat="1" applyFont="1" applyFill="1" applyBorder="1"/>
    <xf numFmtId="170" fontId="4" fillId="14" borderId="80" xfId="1" applyNumberFormat="1" applyFont="1" applyFill="1" applyBorder="1"/>
    <xf numFmtId="170" fontId="4" fillId="8" borderId="77" xfId="1" applyNumberFormat="1" applyFont="1" applyFill="1" applyBorder="1"/>
    <xf numFmtId="171" fontId="4" fillId="0" borderId="77" xfId="2" applyNumberFormat="1" applyFont="1" applyBorder="1"/>
    <xf numFmtId="168" fontId="4" fillId="14" borderId="77" xfId="1" applyNumberFormat="1" applyFont="1" applyFill="1" applyBorder="1" applyAlignment="1">
      <alignment horizontal="center"/>
    </xf>
    <xf numFmtId="168" fontId="4" fillId="0" borderId="82" xfId="1" applyNumberFormat="1" applyFont="1" applyBorder="1" applyAlignment="1">
      <alignment horizontal="center"/>
    </xf>
    <xf numFmtId="166" fontId="4" fillId="0" borderId="83" xfId="4" applyNumberFormat="1" applyFont="1" applyBorder="1"/>
    <xf numFmtId="166" fontId="4" fillId="0" borderId="84" xfId="4" applyNumberFormat="1" applyFont="1" applyBorder="1"/>
    <xf numFmtId="166" fontId="4" fillId="0" borderId="85" xfId="4" applyNumberFormat="1" applyFont="1" applyBorder="1"/>
    <xf numFmtId="0" fontId="11" fillId="18" borderId="1" xfId="0" applyFont="1" applyFill="1" applyBorder="1"/>
    <xf numFmtId="166" fontId="4" fillId="8" borderId="72" xfId="4" applyNumberFormat="1" applyFont="1" applyFill="1" applyBorder="1"/>
    <xf numFmtId="166" fontId="4" fillId="8" borderId="73" xfId="4" applyNumberFormat="1" applyFont="1" applyFill="1" applyBorder="1"/>
    <xf numFmtId="166" fontId="4" fillId="8" borderId="74" xfId="4" applyNumberFormat="1" applyFont="1" applyFill="1" applyBorder="1"/>
    <xf numFmtId="166" fontId="4" fillId="8" borderId="75" xfId="4" applyNumberFormat="1" applyFont="1" applyFill="1" applyBorder="1"/>
    <xf numFmtId="166" fontId="4" fillId="14" borderId="77" xfId="4" applyNumberFormat="1" applyFont="1" applyFill="1" applyBorder="1"/>
    <xf numFmtId="166" fontId="4" fillId="8" borderId="77" xfId="4" applyNumberFormat="1" applyFont="1" applyFill="1" applyBorder="1"/>
    <xf numFmtId="9" fontId="4" fillId="0" borderId="77" xfId="4" applyFont="1" applyBorder="1" applyAlignment="1">
      <alignment horizontal="center"/>
    </xf>
    <xf numFmtId="9" fontId="4" fillId="14" borderId="77" xfId="4" applyFont="1" applyFill="1" applyBorder="1" applyAlignment="1">
      <alignment horizontal="center"/>
    </xf>
    <xf numFmtId="44" fontId="4" fillId="14" borderId="78" xfId="2" applyFont="1" applyFill="1" applyBorder="1" applyAlignment="1">
      <alignment horizontal="center"/>
    </xf>
    <xf numFmtId="9" fontId="4" fillId="0" borderId="82" xfId="4" applyFont="1" applyBorder="1" applyAlignment="1">
      <alignment horizontal="center"/>
    </xf>
    <xf numFmtId="0" fontId="11" fillId="19" borderId="1" xfId="0" applyFont="1" applyFill="1" applyBorder="1"/>
    <xf numFmtId="0" fontId="4" fillId="14" borderId="71" xfId="0" applyFont="1" applyFill="1" applyBorder="1" applyAlignment="1">
      <alignment horizontal="left" indent="1"/>
    </xf>
    <xf numFmtId="171" fontId="4" fillId="14" borderId="72" xfId="2" applyNumberFormat="1" applyFont="1" applyFill="1" applyBorder="1"/>
    <xf numFmtId="172" fontId="4" fillId="14" borderId="77" xfId="2" applyNumberFormat="1" applyFont="1" applyFill="1" applyBorder="1" applyAlignment="1">
      <alignment horizontal="center"/>
    </xf>
    <xf numFmtId="0" fontId="4" fillId="0" borderId="76" xfId="0" quotePrefix="1" applyFont="1" applyBorder="1" applyAlignment="1">
      <alignment horizontal="left" indent="1"/>
    </xf>
    <xf numFmtId="170" fontId="4" fillId="0" borderId="77" xfId="1" applyNumberFormat="1" applyFont="1" applyBorder="1"/>
    <xf numFmtId="170" fontId="4" fillId="0" borderId="78" xfId="1" applyNumberFormat="1" applyFont="1" applyBorder="1"/>
    <xf numFmtId="170" fontId="4" fillId="0" borderId="79" xfId="1" applyNumberFormat="1" applyFont="1" applyBorder="1"/>
    <xf numFmtId="170" fontId="4" fillId="0" borderId="80" xfId="1" applyNumberFormat="1" applyFont="1" applyBorder="1"/>
    <xf numFmtId="0" fontId="4" fillId="14" borderId="76" xfId="0" quotePrefix="1" applyFont="1" applyFill="1" applyBorder="1" applyAlignment="1">
      <alignment horizontal="left" indent="1"/>
    </xf>
    <xf numFmtId="0" fontId="11" fillId="20" borderId="1" xfId="0" applyFont="1" applyFill="1" applyBorder="1"/>
    <xf numFmtId="171" fontId="4" fillId="0" borderId="72" xfId="2" applyNumberFormat="1" applyFont="1" applyBorder="1"/>
    <xf numFmtId="0" fontId="4" fillId="14" borderId="93" xfId="0" applyFont="1" applyFill="1" applyBorder="1" applyAlignment="1">
      <alignment horizontal="left" indent="1"/>
    </xf>
    <xf numFmtId="0" fontId="4" fillId="0" borderId="94" xfId="0" applyFont="1" applyBorder="1" applyAlignment="1">
      <alignment horizontal="left" indent="1"/>
    </xf>
    <xf numFmtId="0" fontId="4" fillId="14" borderId="94" xfId="0" applyFont="1" applyFill="1" applyBorder="1" applyAlignment="1">
      <alignment horizontal="left" indent="1"/>
    </xf>
    <xf numFmtId="171" fontId="4" fillId="8" borderId="77" xfId="2" applyNumberFormat="1" applyFont="1" applyFill="1" applyBorder="1"/>
    <xf numFmtId="0" fontId="4" fillId="14" borderId="24" xfId="0" applyFont="1" applyFill="1" applyBorder="1" applyAlignment="1">
      <alignment horizontal="left" indent="1"/>
    </xf>
    <xf numFmtId="172" fontId="4" fillId="14" borderId="82" xfId="2" applyNumberFormat="1" applyFont="1" applyFill="1" applyBorder="1" applyAlignment="1">
      <alignment horizontal="center"/>
    </xf>
    <xf numFmtId="166" fontId="4" fillId="14" borderId="83" xfId="4" applyNumberFormat="1" applyFont="1" applyFill="1" applyBorder="1"/>
    <xf numFmtId="166" fontId="4" fillId="14" borderId="85" xfId="4" applyNumberFormat="1" applyFont="1" applyFill="1" applyBorder="1"/>
    <xf numFmtId="0" fontId="4" fillId="8" borderId="0" xfId="0" applyFont="1" applyFill="1" applyAlignment="1">
      <alignment horizontal="left" vertical="center"/>
    </xf>
    <xf numFmtId="0" fontId="5" fillId="17" borderId="1" xfId="0" applyFont="1" applyFill="1" applyBorder="1" applyAlignment="1">
      <alignment horizontal="left" indent="2"/>
    </xf>
    <xf numFmtId="0" fontId="12" fillId="8" borderId="0" xfId="0" applyFont="1" applyFill="1"/>
    <xf numFmtId="0" fontId="7" fillId="8" borderId="95" xfId="0" applyFont="1" applyFill="1" applyBorder="1" applyAlignment="1">
      <alignment horizontal="center" vertical="top" wrapText="1"/>
    </xf>
    <xf numFmtId="0" fontId="4" fillId="8" borderId="0" xfId="5" applyFont="1" applyFill="1"/>
    <xf numFmtId="3" fontId="4" fillId="8" borderId="0" xfId="0" applyNumberFormat="1" applyFont="1" applyFill="1"/>
    <xf numFmtId="0" fontId="4" fillId="8" borderId="0" xfId="0" applyFont="1" applyFill="1" applyAlignment="1">
      <alignment horizontal="left"/>
    </xf>
    <xf numFmtId="0" fontId="3" fillId="13" borderId="1" xfId="0" applyFont="1" applyFill="1" applyBorder="1" applyAlignment="1">
      <alignment horizontal="left"/>
    </xf>
    <xf numFmtId="164" fontId="4" fillId="8" borderId="0" xfId="0" applyNumberFormat="1" applyFont="1" applyFill="1"/>
    <xf numFmtId="0" fontId="4" fillId="0" borderId="96" xfId="5" quotePrefix="1" applyFont="1" applyBorder="1" applyAlignment="1">
      <alignment horizontal="left" indent="1"/>
    </xf>
    <xf numFmtId="0" fontId="3" fillId="8" borderId="0" xfId="5" applyFont="1" applyFill="1"/>
    <xf numFmtId="42" fontId="4" fillId="0" borderId="72" xfId="3" applyFont="1" applyBorder="1"/>
    <xf numFmtId="0" fontId="3" fillId="8" borderId="0" xfId="0" applyFont="1" applyFill="1" applyAlignment="1">
      <alignment horizontal="left"/>
    </xf>
    <xf numFmtId="0" fontId="4" fillId="8" borderId="97" xfId="5" quotePrefix="1" applyFont="1" applyFill="1" applyBorder="1" applyAlignment="1">
      <alignment horizontal="left" indent="1"/>
    </xf>
    <xf numFmtId="165" fontId="4" fillId="8" borderId="88" xfId="1" applyNumberFormat="1" applyFont="1" applyFill="1" applyBorder="1"/>
    <xf numFmtId="0" fontId="7" fillId="6" borderId="24" xfId="0" quotePrefix="1" applyFont="1" applyFill="1" applyBorder="1" applyAlignment="1">
      <alignment horizontal="left" vertical="center"/>
    </xf>
    <xf numFmtId="0" fontId="7" fillId="8" borderId="0" xfId="0" applyFont="1" applyFill="1" applyAlignment="1">
      <alignment vertical="center"/>
    </xf>
    <xf numFmtId="165" fontId="7" fillId="6" borderId="28" xfId="1" applyNumberFormat="1" applyFont="1" applyFill="1" applyBorder="1" applyAlignment="1">
      <alignment vertical="center"/>
    </xf>
    <xf numFmtId="165" fontId="7" fillId="6" borderId="26" xfId="1" applyNumberFormat="1" applyFont="1" applyFill="1" applyBorder="1" applyAlignment="1">
      <alignment vertical="center"/>
    </xf>
    <xf numFmtId="165" fontId="7" fillId="6" borderId="25" xfId="1" applyNumberFormat="1" applyFont="1" applyFill="1" applyBorder="1" applyAlignment="1">
      <alignment vertical="center"/>
    </xf>
    <xf numFmtId="165" fontId="7" fillId="6" borderId="67" xfId="1" applyNumberFormat="1" applyFont="1" applyFill="1" applyBorder="1" applyAlignment="1">
      <alignment vertical="center"/>
    </xf>
    <xf numFmtId="165" fontId="7" fillId="6" borderId="36" xfId="1" applyNumberFormat="1" applyFont="1" applyFill="1" applyBorder="1" applyAlignment="1">
      <alignment vertical="center"/>
    </xf>
    <xf numFmtId="0" fontId="4" fillId="8" borderId="96" xfId="0" quotePrefix="1" applyFont="1" applyFill="1" applyBorder="1" applyAlignment="1">
      <alignment horizontal="left" indent="1"/>
    </xf>
    <xf numFmtId="165" fontId="4" fillId="8" borderId="71" xfId="1" applyNumberFormat="1" applyFont="1" applyFill="1" applyBorder="1"/>
    <xf numFmtId="165" fontId="4" fillId="8" borderId="73" xfId="1" applyNumberFormat="1" applyFont="1" applyFill="1" applyBorder="1"/>
    <xf numFmtId="165" fontId="4" fillId="8" borderId="98" xfId="1" applyNumberFormat="1" applyFont="1" applyFill="1" applyBorder="1"/>
    <xf numFmtId="165" fontId="4" fillId="8" borderId="74" xfId="1" applyNumberFormat="1" applyFont="1" applyFill="1" applyBorder="1"/>
    <xf numFmtId="165" fontId="4" fillId="8" borderId="75" xfId="1" applyNumberFormat="1" applyFont="1" applyFill="1" applyBorder="1"/>
    <xf numFmtId="0" fontId="13" fillId="8" borderId="15" xfId="5" applyFont="1" applyFill="1" applyBorder="1" applyAlignment="1">
      <alignment horizontal="left" vertical="center" indent="4"/>
    </xf>
    <xf numFmtId="0" fontId="13" fillId="8" borderId="0" xfId="5" applyFont="1" applyFill="1"/>
    <xf numFmtId="165" fontId="13" fillId="8" borderId="99" xfId="1" applyNumberFormat="1" applyFont="1" applyFill="1" applyBorder="1" applyAlignment="1">
      <alignment horizontal="right"/>
    </xf>
    <xf numFmtId="165" fontId="13" fillId="8" borderId="16" xfId="1" applyNumberFormat="1" applyFont="1" applyFill="1" applyBorder="1" applyAlignment="1">
      <alignment horizontal="right"/>
    </xf>
    <xf numFmtId="165" fontId="13" fillId="8" borderId="17" xfId="1" applyNumberFormat="1" applyFont="1" applyFill="1" applyBorder="1" applyAlignment="1">
      <alignment horizontal="right"/>
    </xf>
    <xf numFmtId="0" fontId="13" fillId="8" borderId="46" xfId="5" applyFont="1" applyFill="1" applyBorder="1" applyAlignment="1">
      <alignment horizontal="left" vertical="center" indent="4"/>
    </xf>
    <xf numFmtId="165" fontId="13" fillId="8" borderId="47" xfId="1" applyNumberFormat="1" applyFont="1" applyFill="1" applyBorder="1" applyAlignment="1">
      <alignment horizontal="right"/>
    </xf>
    <xf numFmtId="165" fontId="13" fillId="8" borderId="48" xfId="1" applyNumberFormat="1" applyFont="1" applyFill="1" applyBorder="1" applyAlignment="1">
      <alignment horizontal="right"/>
    </xf>
    <xf numFmtId="165" fontId="13" fillId="8" borderId="50" xfId="1" applyNumberFormat="1" applyFont="1" applyFill="1" applyBorder="1" applyAlignment="1">
      <alignment horizontal="right"/>
    </xf>
    <xf numFmtId="0" fontId="13" fillId="8" borderId="94" xfId="5" applyFont="1" applyFill="1" applyBorder="1" applyAlignment="1">
      <alignment horizontal="left" vertical="center" indent="4"/>
    </xf>
    <xf numFmtId="165" fontId="13" fillId="8" borderId="90" xfId="1" applyNumberFormat="1" applyFont="1" applyFill="1" applyBorder="1" applyAlignment="1">
      <alignment horizontal="right"/>
    </xf>
    <xf numFmtId="165" fontId="13" fillId="8" borderId="91" xfId="1" applyNumberFormat="1" applyFont="1" applyFill="1" applyBorder="1" applyAlignment="1">
      <alignment horizontal="right"/>
    </xf>
    <xf numFmtId="165" fontId="13" fillId="8" borderId="92" xfId="1" applyNumberFormat="1" applyFont="1" applyFill="1" applyBorder="1" applyAlignment="1">
      <alignment horizontal="right"/>
    </xf>
    <xf numFmtId="0" fontId="4" fillId="8" borderId="19" xfId="5" quotePrefix="1" applyFont="1" applyFill="1" applyBorder="1" applyAlignment="1">
      <alignment horizontal="left" indent="1"/>
    </xf>
    <xf numFmtId="165" fontId="4" fillId="8" borderId="100" xfId="1" applyNumberFormat="1" applyFont="1" applyFill="1" applyBorder="1"/>
    <xf numFmtId="0" fontId="7" fillId="6" borderId="24" xfId="5" quotePrefix="1" applyFont="1" applyFill="1" applyBorder="1" applyAlignment="1">
      <alignment horizontal="left" vertical="center"/>
    </xf>
    <xf numFmtId="0" fontId="7" fillId="8" borderId="0" xfId="5" applyFont="1" applyFill="1" applyAlignment="1">
      <alignment vertical="center"/>
    </xf>
    <xf numFmtId="165" fontId="7" fillId="6" borderId="51" xfId="1" applyNumberFormat="1" applyFont="1" applyFill="1" applyBorder="1" applyAlignment="1">
      <alignment vertical="center"/>
    </xf>
    <xf numFmtId="0" fontId="4" fillId="8" borderId="96" xfId="5" quotePrefix="1" applyFont="1" applyFill="1" applyBorder="1" applyAlignment="1">
      <alignment horizontal="left" indent="1"/>
    </xf>
    <xf numFmtId="165" fontId="4" fillId="8" borderId="72" xfId="1" applyNumberFormat="1" applyFont="1" applyFill="1" applyBorder="1"/>
    <xf numFmtId="0" fontId="4" fillId="8" borderId="19" xfId="5" quotePrefix="1" applyFont="1" applyFill="1" applyBorder="1" applyAlignment="1">
      <alignment horizontal="left" vertical="center" indent="1"/>
    </xf>
    <xf numFmtId="0" fontId="4" fillId="8" borderId="30" xfId="5" quotePrefix="1" applyFont="1" applyFill="1" applyBorder="1" applyAlignment="1">
      <alignment horizontal="left" indent="1"/>
    </xf>
    <xf numFmtId="165" fontId="4" fillId="8" borderId="101" xfId="1" applyNumberFormat="1" applyFont="1" applyFill="1" applyBorder="1"/>
    <xf numFmtId="0" fontId="4" fillId="8" borderId="19" xfId="0" quotePrefix="1" applyFont="1" applyFill="1" applyBorder="1" applyAlignment="1">
      <alignment horizontal="left" indent="1"/>
    </xf>
    <xf numFmtId="165" fontId="4" fillId="8" borderId="20" xfId="1" applyNumberFormat="1" applyFont="1" applyFill="1" applyBorder="1"/>
    <xf numFmtId="165" fontId="4" fillId="8" borderId="69" xfId="1" applyNumberFormat="1" applyFont="1" applyFill="1" applyBorder="1"/>
    <xf numFmtId="0" fontId="3" fillId="8" borderId="0" xfId="0" applyFont="1" applyFill="1" applyAlignment="1">
      <alignment horizontal="left" vertical="center"/>
    </xf>
    <xf numFmtId="0" fontId="4" fillId="8" borderId="102" xfId="0" quotePrefix="1" applyFont="1" applyFill="1" applyBorder="1" applyAlignment="1">
      <alignment horizontal="left" indent="1"/>
    </xf>
    <xf numFmtId="165" fontId="4" fillId="8" borderId="103" xfId="1" applyNumberFormat="1" applyFont="1" applyFill="1" applyBorder="1"/>
    <xf numFmtId="165" fontId="4" fillId="8" borderId="104" xfId="1" applyNumberFormat="1" applyFont="1" applyFill="1" applyBorder="1"/>
    <xf numFmtId="165" fontId="4" fillId="8" borderId="105" xfId="1" applyNumberFormat="1" applyFont="1" applyFill="1" applyBorder="1"/>
    <xf numFmtId="165" fontId="4" fillId="8" borderId="106" xfId="1" applyNumberFormat="1" applyFont="1" applyFill="1" applyBorder="1"/>
    <xf numFmtId="165" fontId="4" fillId="8" borderId="107" xfId="1" applyNumberFormat="1" applyFont="1" applyFill="1" applyBorder="1"/>
    <xf numFmtId="0" fontId="4" fillId="8" borderId="30" xfId="0" quotePrefix="1" applyFont="1" applyFill="1" applyBorder="1" applyAlignment="1">
      <alignment horizontal="left" indent="1"/>
    </xf>
    <xf numFmtId="165" fontId="4" fillId="8" borderId="33" xfId="1" applyNumberFormat="1" applyFont="1" applyFill="1" applyBorder="1"/>
    <xf numFmtId="165" fontId="4" fillId="8" borderId="65" xfId="1" applyNumberFormat="1" applyFont="1" applyFill="1" applyBorder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108" xfId="0" applyFont="1" applyBorder="1" applyAlignment="1">
      <alignment horizontal="center" vertical="center" wrapText="1"/>
    </xf>
    <xf numFmtId="174" fontId="0" fillId="0" borderId="108" xfId="0" applyNumberFormat="1" applyBorder="1" applyAlignment="1">
      <alignment vertical="center" wrapText="1"/>
    </xf>
    <xf numFmtId="174" fontId="0" fillId="0" borderId="108" xfId="0" applyNumberFormat="1" applyBorder="1"/>
    <xf numFmtId="173" fontId="0" fillId="0" borderId="108" xfId="0" applyNumberFormat="1" applyBorder="1"/>
    <xf numFmtId="166" fontId="0" fillId="0" borderId="108" xfId="4" applyNumberFormat="1" applyFont="1" applyBorder="1"/>
    <xf numFmtId="0" fontId="0" fillId="0" borderId="0" xfId="0" applyAlignment="1">
      <alignment horizontal="center"/>
    </xf>
    <xf numFmtId="9" fontId="0" fillId="0" borderId="108" xfId="4" applyFont="1" applyBorder="1" applyAlignment="1">
      <alignment horizontal="center"/>
    </xf>
    <xf numFmtId="166" fontId="0" fillId="0" borderId="108" xfId="4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6" fontId="14" fillId="0" borderId="0" xfId="0" applyNumberFormat="1" applyFont="1" applyAlignment="1">
      <alignment horizontal="center"/>
    </xf>
    <xf numFmtId="166" fontId="14" fillId="0" borderId="25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wrapText="1"/>
    </xf>
    <xf numFmtId="9" fontId="0" fillId="0" borderId="108" xfId="4" applyFont="1" applyBorder="1"/>
    <xf numFmtId="0" fontId="0" fillId="0" borderId="108" xfId="0" applyBorder="1" applyAlignment="1">
      <alignment horizontal="center" vertical="center" wrapText="1"/>
    </xf>
    <xf numFmtId="0" fontId="7" fillId="8" borderId="0" xfId="0" applyFont="1" applyFill="1" applyAlignment="1">
      <alignment vertical="top" wrapText="1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top" wrapText="1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 vertical="top" wrapText="1" indent="1"/>
    </xf>
    <xf numFmtId="173" fontId="14" fillId="0" borderId="0" xfId="0" applyNumberFormat="1" applyFont="1" applyAlignment="1">
      <alignment horizontal="center"/>
    </xf>
    <xf numFmtId="166" fontId="14" fillId="0" borderId="0" xfId="4" applyNumberFormat="1" applyFont="1" applyAlignment="1">
      <alignment horizontal="center"/>
    </xf>
    <xf numFmtId="0" fontId="20" fillId="0" borderId="25" xfId="0" applyFont="1" applyBorder="1" applyAlignment="1">
      <alignment horizontal="left" vertical="top" wrapText="1" indent="1"/>
    </xf>
    <xf numFmtId="173" fontId="14" fillId="0" borderId="25" xfId="0" applyNumberFormat="1" applyFont="1" applyBorder="1" applyAlignment="1">
      <alignment horizontal="center"/>
    </xf>
    <xf numFmtId="166" fontId="14" fillId="0" borderId="25" xfId="4" applyNumberFormat="1" applyFont="1" applyBorder="1" applyAlignment="1">
      <alignment horizontal="center"/>
    </xf>
    <xf numFmtId="0" fontId="18" fillId="0" borderId="0" xfId="0" applyFont="1" applyAlignment="1">
      <alignment horizontal="left" vertical="top" wrapText="1" indent="1"/>
    </xf>
    <xf numFmtId="0" fontId="18" fillId="0" borderId="25" xfId="0" applyFont="1" applyBorder="1" applyAlignment="1">
      <alignment horizontal="left" vertical="top" wrapText="1" indent="1"/>
    </xf>
    <xf numFmtId="0" fontId="21" fillId="0" borderId="108" xfId="0" applyFont="1" applyBorder="1" applyAlignment="1">
      <alignment horizontal="center" vertical="top" wrapText="1"/>
    </xf>
    <xf numFmtId="0" fontId="0" fillId="0" borderId="109" xfId="0" applyBorder="1"/>
    <xf numFmtId="0" fontId="2" fillId="0" borderId="109" xfId="0" applyFont="1" applyBorder="1" applyAlignment="1">
      <alignment horizontal="center" vertical="center" wrapText="1"/>
    </xf>
    <xf numFmtId="166" fontId="21" fillId="0" borderId="108" xfId="4" applyNumberFormat="1" applyFont="1" applyFill="1" applyBorder="1" applyAlignment="1">
      <alignment horizontal="center"/>
    </xf>
    <xf numFmtId="170" fontId="21" fillId="0" borderId="108" xfId="4" applyNumberFormat="1" applyFont="1" applyFill="1" applyBorder="1" applyAlignment="1">
      <alignment horizontal="center"/>
    </xf>
    <xf numFmtId="171" fontId="21" fillId="0" borderId="108" xfId="2" applyNumberFormat="1" applyFont="1" applyFill="1" applyBorder="1" applyAlignment="1">
      <alignment horizontal="center"/>
    </xf>
    <xf numFmtId="166" fontId="21" fillId="0" borderId="108" xfId="1" applyNumberFormat="1" applyFont="1" applyFill="1" applyBorder="1" applyAlignment="1">
      <alignment horizontal="center"/>
    </xf>
    <xf numFmtId="0" fontId="21" fillId="0" borderId="108" xfId="1" applyNumberFormat="1" applyFont="1" applyFill="1" applyBorder="1" applyAlignment="1">
      <alignment horizontal="center"/>
    </xf>
    <xf numFmtId="170" fontId="21" fillId="0" borderId="108" xfId="1" applyNumberFormat="1" applyFont="1" applyFill="1" applyBorder="1" applyAlignment="1">
      <alignment horizontal="center"/>
    </xf>
    <xf numFmtId="0" fontId="22" fillId="0" borderId="108" xfId="0" applyFont="1" applyBorder="1" applyAlignment="1">
      <alignment horizontal="center" vertical="center" wrapText="1"/>
    </xf>
    <xf numFmtId="0" fontId="17" fillId="0" borderId="0" xfId="0" applyFont="1"/>
    <xf numFmtId="0" fontId="17" fillId="0" borderId="108" xfId="0" applyFont="1" applyBorder="1" applyAlignment="1">
      <alignment vertical="center" wrapText="1"/>
    </xf>
    <xf numFmtId="0" fontId="17" fillId="0" borderId="108" xfId="0" applyFont="1" applyBorder="1" applyAlignment="1">
      <alignment horizontal="left" vertical="center" wrapText="1" indent="3"/>
    </xf>
    <xf numFmtId="0" fontId="22" fillId="0" borderId="108" xfId="0" applyFont="1" applyBorder="1" applyAlignment="1">
      <alignment vertical="center" wrapText="1"/>
    </xf>
    <xf numFmtId="0" fontId="18" fillId="6" borderId="2" xfId="0" applyFont="1" applyFill="1" applyBorder="1"/>
    <xf numFmtId="165" fontId="23" fillId="8" borderId="14" xfId="1" applyNumberFormat="1" applyFont="1" applyFill="1" applyBorder="1" applyAlignment="1">
      <alignment horizontal="center"/>
    </xf>
    <xf numFmtId="165" fontId="18" fillId="6" borderId="2" xfId="1" applyNumberFormat="1" applyFont="1" applyFill="1" applyBorder="1" applyAlignment="1">
      <alignment horizontal="center"/>
    </xf>
    <xf numFmtId="165" fontId="18" fillId="6" borderId="3" xfId="1" applyNumberFormat="1" applyFont="1" applyFill="1" applyBorder="1" applyAlignment="1">
      <alignment horizontal="center"/>
    </xf>
    <xf numFmtId="165" fontId="18" fillId="6" borderId="5" xfId="1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22" fillId="0" borderId="108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top" wrapText="1"/>
    </xf>
    <xf numFmtId="0" fontId="3" fillId="6" borderId="4" xfId="0" applyFont="1" applyFill="1" applyBorder="1" applyAlignment="1">
      <alignment horizontal="center" vertical="top" wrapText="1"/>
    </xf>
    <xf numFmtId="0" fontId="3" fillId="6" borderId="55" xfId="0" applyFont="1" applyFill="1" applyBorder="1" applyAlignment="1">
      <alignment horizontal="center" vertical="top" wrapText="1"/>
    </xf>
    <xf numFmtId="0" fontId="5" fillId="11" borderId="25" xfId="0" applyFont="1" applyFill="1" applyBorder="1" applyAlignment="1">
      <alignment horizontal="center"/>
    </xf>
    <xf numFmtId="0" fontId="5" fillId="11" borderId="27" xfId="0" applyFont="1" applyFill="1" applyBorder="1" applyAlignment="1">
      <alignment horizontal="center"/>
    </xf>
    <xf numFmtId="0" fontId="2" fillId="0" borderId="108" xfId="0" applyFont="1" applyBorder="1" applyAlignment="1">
      <alignment horizontal="center"/>
    </xf>
    <xf numFmtId="0" fontId="2" fillId="0" borderId="109" xfId="0" applyFont="1" applyBorder="1" applyAlignment="1">
      <alignment horizontal="center"/>
    </xf>
  </cellXfs>
  <cellStyles count="6">
    <cellStyle name="Millares" xfId="1" builtinId="3"/>
    <cellStyle name="Moneda" xfId="2" builtinId="4"/>
    <cellStyle name="Moneda [0]" xfId="3" builtinId="7"/>
    <cellStyle name="Normal" xfId="0" builtinId="0"/>
    <cellStyle name="Normal 2" xfId="5" xr:uid="{C0B77905-1FF0-4E11-841D-224366819AFE}"/>
    <cellStyle name="Porcentaje" xfId="4" builtinId="5"/>
  </cellStyles>
  <dxfs count="0"/>
  <tableStyles count="0" defaultTableStyle="TableStyleMedium2" defaultPivotStyle="PivotStyleLight16"/>
  <colors>
    <mruColors>
      <color rgb="FF7EB442"/>
      <color rgb="FFDA422E"/>
      <color rgb="FF5CEEEE"/>
      <color rgb="FF1A0C3C"/>
      <color rgb="FFF2F2F2"/>
      <color rgb="FF9B979B"/>
      <color rgb="FF5EC067"/>
      <color rgb="FF5C0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backend!$D$3</c:f>
              <c:strCache>
                <c:ptCount val="1"/>
                <c:pt idx="0">
                  <c:v>Barras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0F-40A1-A1C1-D7A700FCAA51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0F-40A1-A1C1-D7A700FCAA51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0F-40A1-A1C1-D7A700FCAA51}"/>
              </c:ext>
            </c:extLst>
          </c:dPt>
          <c:dPt>
            <c:idx val="3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0F-40A1-A1C1-D7A700FCAA51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60F-40A1-A1C1-D7A700FCAA51}"/>
              </c:ext>
            </c:extLst>
          </c:dPt>
          <c:dPt>
            <c:idx val="5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60F-40A1-A1C1-D7A700FCAA51}"/>
              </c:ext>
            </c:extLst>
          </c:dPt>
          <c:dPt>
            <c:idx val="6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60F-40A1-A1C1-D7A700FCAA51}"/>
              </c:ext>
            </c:extLst>
          </c:dPt>
          <c:dPt>
            <c:idx val="7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60F-40A1-A1C1-D7A700FCAA51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60F-40A1-A1C1-D7A700FCAA51}"/>
              </c:ext>
            </c:extLst>
          </c:dPt>
          <c:dPt>
            <c:idx val="9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60F-40A1-A1C1-D7A700FCAA51}"/>
              </c:ext>
            </c:extLst>
          </c:dPt>
          <c:dPt>
            <c:idx val="1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60F-40A1-A1C1-D7A700FCAA51}"/>
              </c:ext>
            </c:extLst>
          </c:dPt>
          <c:dPt>
            <c:idx val="1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60F-40A1-A1C1-D7A700FCAA51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60F-40A1-A1C1-D7A700FCAA51}"/>
              </c:ext>
            </c:extLst>
          </c:dPt>
          <c:dPt>
            <c:idx val="13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60F-40A1-A1C1-D7A700FCAA51}"/>
              </c:ext>
            </c:extLst>
          </c:dPt>
          <c:dPt>
            <c:idx val="1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560F-40A1-A1C1-D7A700FCAA51}"/>
              </c:ext>
            </c:extLst>
          </c:dPt>
          <c:dPt>
            <c:idx val="15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560F-40A1-A1C1-D7A700FCAA51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0F-40A1-A1C1-D7A700FCAA51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0F-40A1-A1C1-D7A700FCAA51}"/>
                </c:ext>
              </c:extLst>
            </c:dLbl>
            <c:dLbl>
              <c:idx val="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0F-40A1-A1C1-D7A700FCAA51}"/>
                </c:ext>
              </c:extLst>
            </c:dLbl>
            <c:dLbl>
              <c:idx val="1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60F-40A1-A1C1-D7A700FCAA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backend!$D$4:$D$19</c:f>
              <c:numCache>
                <c:formatCode>"$"\ #,##0</c:formatCode>
                <c:ptCount val="16"/>
                <c:pt idx="0">
                  <c:v>570036545.83152092</c:v>
                </c:pt>
                <c:pt idx="1">
                  <c:v>510633535.16623437</c:v>
                </c:pt>
                <c:pt idx="2">
                  <c:v>510633535.16623437</c:v>
                </c:pt>
                <c:pt idx="3">
                  <c:v>516476423.01720613</c:v>
                </c:pt>
                <c:pt idx="4">
                  <c:v>221876379.20030993</c:v>
                </c:pt>
                <c:pt idx="5">
                  <c:v>221876379.2003099</c:v>
                </c:pt>
                <c:pt idx="6">
                  <c:v>73289474.101991773</c:v>
                </c:pt>
                <c:pt idx="7">
                  <c:v>73289474.101991773</c:v>
                </c:pt>
                <c:pt idx="8">
                  <c:v>54885107.653033689</c:v>
                </c:pt>
                <c:pt idx="9">
                  <c:v>54885107.653033689</c:v>
                </c:pt>
                <c:pt idx="10">
                  <c:v>41801953.979558468</c:v>
                </c:pt>
                <c:pt idx="11">
                  <c:v>48392904.202929385</c:v>
                </c:pt>
                <c:pt idx="12">
                  <c:v>35498353.691255987</c:v>
                </c:pt>
                <c:pt idx="13">
                  <c:v>35498353.691255987</c:v>
                </c:pt>
                <c:pt idx="14">
                  <c:v>20362156.172308356</c:v>
                </c:pt>
                <c:pt idx="15">
                  <c:v>20362156.172308356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60F-40A1-A1C1-D7A700FCAA51}"/>
            </c:ext>
          </c:extLst>
        </c:ser>
        <c:ser>
          <c:idx val="0"/>
          <c:order val="1"/>
          <c:tx>
            <c:strRef>
              <c:f>backend!$C$3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560F-40A1-A1C1-D7A700FCAA51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560F-40A1-A1C1-D7A700FCAA51}"/>
              </c:ext>
            </c:extLst>
          </c:dPt>
          <c:dPt>
            <c:idx val="2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560F-40A1-A1C1-D7A700FCAA51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560F-40A1-A1C1-D7A700FCAA51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560F-40A1-A1C1-D7A700FCAA51}"/>
              </c:ext>
            </c:extLst>
          </c:dPt>
          <c:dPt>
            <c:idx val="5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560F-40A1-A1C1-D7A700FCAA51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560F-40A1-A1C1-D7A700FCAA51}"/>
              </c:ext>
            </c:extLst>
          </c:dPt>
          <c:dPt>
            <c:idx val="7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560F-40A1-A1C1-D7A700FCAA51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560F-40A1-A1C1-D7A700FCAA51}"/>
              </c:ext>
            </c:extLst>
          </c:dPt>
          <c:dPt>
            <c:idx val="9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560F-40A1-A1C1-D7A700FCAA51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560F-40A1-A1C1-D7A700FCAA51}"/>
              </c:ext>
            </c:extLst>
          </c:dPt>
          <c:dPt>
            <c:idx val="11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560F-40A1-A1C1-D7A700FCAA51}"/>
              </c:ext>
            </c:extLst>
          </c:dPt>
          <c:dPt>
            <c:idx val="1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560F-40A1-A1C1-D7A700FCAA51}"/>
              </c:ext>
            </c:extLst>
          </c:dPt>
          <c:dPt>
            <c:idx val="1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560F-40A1-A1C1-D7A700FCAA51}"/>
              </c:ext>
            </c:extLst>
          </c:dPt>
          <c:dPt>
            <c:idx val="1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560F-40A1-A1C1-D7A700FCAA51}"/>
              </c:ext>
            </c:extLst>
          </c:dPt>
          <c:dPt>
            <c:idx val="15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560F-40A1-A1C1-D7A700FCAA51}"/>
              </c:ext>
            </c:extLst>
          </c:dPt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560F-40A1-A1C1-D7A700FCAA51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60F-40A1-A1C1-D7A700FCAA51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560F-40A1-A1C1-D7A700FCAA51}"/>
                </c:ext>
              </c:extLst>
            </c:dLbl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60F-40A1-A1C1-D7A700FCAA51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560F-40A1-A1C1-D7A700FCAA51}"/>
                </c:ext>
              </c:extLst>
            </c:dLbl>
            <c:dLbl>
              <c:idx val="8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560F-40A1-A1C1-D7A700FCAA51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560F-40A1-A1C1-D7A700FCAA51}"/>
                </c:ext>
              </c:extLst>
            </c:dLbl>
            <c:dLbl>
              <c:idx val="1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560F-40A1-A1C1-D7A700FCAA51}"/>
                </c:ext>
              </c:extLst>
            </c:dLbl>
            <c:dLbl>
              <c:idx val="1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560F-40A1-A1C1-D7A700FCAA51}"/>
                </c:ext>
              </c:extLst>
            </c:dLbl>
            <c:dLbl>
              <c:idx val="1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560F-40A1-A1C1-D7A700FCAA51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560F-40A1-A1C1-D7A700FCAA51}"/>
                </c:ext>
              </c:extLst>
            </c:dLbl>
            <c:dLbl>
              <c:idx val="1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560F-40A1-A1C1-D7A700FCAA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backend!$C$4:$C$19</c:f>
              <c:numCache>
                <c:formatCode>"$"\ #,##0</c:formatCode>
                <c:ptCount val="16"/>
                <c:pt idx="0">
                  <c:v>570036545.83152092</c:v>
                </c:pt>
                <c:pt idx="1">
                  <c:v>59403010.665286541</c:v>
                </c:pt>
                <c:pt idx="2">
                  <c:v>5842887.8509717509</c:v>
                </c:pt>
                <c:pt idx="3">
                  <c:v>516476423.01720613</c:v>
                </c:pt>
                <c:pt idx="4">
                  <c:v>294600043.8168962</c:v>
                </c:pt>
                <c:pt idx="5">
                  <c:v>221876379.2003099</c:v>
                </c:pt>
                <c:pt idx="6">
                  <c:v>148586905.09831813</c:v>
                </c:pt>
                <c:pt idx="7">
                  <c:v>73289474.101991773</c:v>
                </c:pt>
                <c:pt idx="8">
                  <c:v>18404366.44895808</c:v>
                </c:pt>
                <c:pt idx="9">
                  <c:v>54885107.653033689</c:v>
                </c:pt>
                <c:pt idx="10">
                  <c:v>13083153.673475219</c:v>
                </c:pt>
                <c:pt idx="11">
                  <c:v>6590950.2233709171</c:v>
                </c:pt>
                <c:pt idx="12">
                  <c:v>12894550.511673395</c:v>
                </c:pt>
                <c:pt idx="13">
                  <c:v>35498353.691255987</c:v>
                </c:pt>
                <c:pt idx="14">
                  <c:v>15136197.518947633</c:v>
                </c:pt>
                <c:pt idx="15">
                  <c:v>20362156.172308356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60F-40A1-A1C1-D7A700FC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6336912"/>
        <c:axId val="1626337744"/>
      </c:barChart>
      <c:catAx>
        <c:axId val="162633691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6337744"/>
        <c:crosses val="autoZero"/>
        <c:auto val="1"/>
        <c:lblAlgn val="ctr"/>
        <c:lblOffset val="300"/>
        <c:noMultiLvlLbl val="0"/>
      </c:catAx>
      <c:valAx>
        <c:axId val="1626337744"/>
        <c:scaling>
          <c:orientation val="minMax"/>
          <c:max val="900000000"/>
          <c:min val="-100000000"/>
        </c:scaling>
        <c:delete val="0"/>
        <c:axPos val="t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6336912"/>
        <c:crosses val="autoZero"/>
        <c:crossBetween val="between"/>
        <c:majorUnit val="200000000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backend!$I$3</c:f>
              <c:strCache>
                <c:ptCount val="1"/>
                <c:pt idx="0">
                  <c:v>aumenta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4825672-998D-492C-9237-1DE0EBF7647D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7E9A-4629-B5C4-F60EBD5E04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3C9E44-F100-4E86-B88F-8540E5CD321D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9A-4629-B5C4-F60EBD5E04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6E7DF6-99E2-4ADE-9884-EB7A22B8E423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9A-4629-B5C4-F60EBD5E04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B55AC6-AF8E-4750-B753-794730B34CE3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9A-4629-B5C4-F60EBD5E04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C88423-75D2-49AB-87D8-D9D1C6ECFF7E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9A-4629-B5C4-F60EBD5E04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D28C79-8640-400A-9A71-41932DF30AE2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9A-4629-B5C4-F60EBD5E04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C76F74-DED7-45CE-9787-D82F8D19F38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9A-4629-B5C4-F60EBD5E04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7BB162-A3CC-43E2-999E-A8802B97519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9A-4629-B5C4-F60EBD5E04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3DB9E3-996D-4F5C-A2AA-BC04EF4C689D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9A-4629-B5C4-F60EBD5E04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D2F3B6-8DE7-4DC5-97FE-4DFDE5084B92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9A-4629-B5C4-F60EBD5E04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236EC0-343B-4FC2-9468-F065C4757D5E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9A-4629-B5C4-F60EBD5E04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B0FE51-E70A-4D7F-9EB8-0E7994776425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9A-4629-B5C4-F60EBD5E04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0EA5E6-7AE2-4F3E-A08B-6EFD3D4363D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9A-4629-B5C4-F60EBD5E04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EF974F-327F-4516-87C0-96E17DB2C6BD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9A-4629-B5C4-F60EBD5E04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83178E-7CA6-4453-BDD8-81BCEEFF876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9A-4629-B5C4-F60EBD5E04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9F7148-3B3B-4B8E-8E87-ABA31445D72E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9A-4629-B5C4-F60EBD5E04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backend!$I$4:$I$19</c:f>
              <c:numCache>
                <c:formatCode>"$"\ #,##0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35572503.823320091</c:v>
                </c:pt>
                <c:pt idx="4">
                  <c:v>3719211.5104366541</c:v>
                </c:pt>
                <c:pt idx="5">
                  <c:v>31853292.312883407</c:v>
                </c:pt>
                <c:pt idx="6">
                  <c:v>23735581.246785343</c:v>
                </c:pt>
                <c:pt idx="7">
                  <c:v>8117711.0660980791</c:v>
                </c:pt>
                <c:pt idx="8">
                  <c:v>596172.05400368571</c:v>
                </c:pt>
                <c:pt idx="9">
                  <c:v>7521539.0120944008</c:v>
                </c:pt>
                <c:pt idx="10">
                  <c:v>602822.17082049698</c:v>
                </c:pt>
                <c:pt idx="11">
                  <c:v>0</c:v>
                </c:pt>
                <c:pt idx="12">
                  <c:v>5419781.3600090407</c:v>
                </c:pt>
                <c:pt idx="13">
                  <c:v>0</c:v>
                </c:pt>
                <c:pt idx="14">
                  <c:v>0</c:v>
                </c:pt>
                <c:pt idx="15">
                  <c:v>8256045.2277993448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backend!$H$4:$H$19</c15:f>
                <c15:dlblRangeCache>
                  <c:ptCount val="16"/>
                  <c:pt idx="0">
                    <c:v>-$ 19,7</c:v>
                  </c:pt>
                  <c:pt idx="1">
                    <c:v>-$ 59,4</c:v>
                  </c:pt>
                  <c:pt idx="2">
                    <c:v>-$ 4,2</c:v>
                  </c:pt>
                  <c:pt idx="3">
                    <c:v>$ 35,6</c:v>
                  </c:pt>
                  <c:pt idx="4">
                    <c:v>$ 3,7</c:v>
                  </c:pt>
                  <c:pt idx="5">
                    <c:v>$ 31,9</c:v>
                  </c:pt>
                  <c:pt idx="6">
                    <c:v>$ 23,7</c:v>
                  </c:pt>
                  <c:pt idx="7">
                    <c:v>$ 8,1</c:v>
                  </c:pt>
                  <c:pt idx="8">
                    <c:v>$ 0,6</c:v>
                  </c:pt>
                  <c:pt idx="9">
                    <c:v>$ 7,5</c:v>
                  </c:pt>
                  <c:pt idx="10">
                    <c:v>$ 0,6</c:v>
                  </c:pt>
                  <c:pt idx="11">
                    <c:v>-$ 4,4</c:v>
                  </c:pt>
                  <c:pt idx="12">
                    <c:v>$ 5,4</c:v>
                  </c:pt>
                  <c:pt idx="13">
                    <c:v>-$ 2,9</c:v>
                  </c:pt>
                  <c:pt idx="14">
                    <c:v>-$ 11,2</c:v>
                  </c:pt>
                  <c:pt idx="15">
                    <c:v>$ 8,3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7E9A-4629-B5C4-F60EBD5E04F2}"/>
            </c:ext>
          </c:extLst>
        </c:ser>
        <c:ser>
          <c:idx val="1"/>
          <c:order val="1"/>
          <c:tx>
            <c:strRef>
              <c:f>backend!$J$3</c:f>
              <c:strCache>
                <c:ptCount val="1"/>
                <c:pt idx="0">
                  <c:v>disminuye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backend!$J$4:$J$19</c:f>
              <c:numCache>
                <c:formatCode>"$"\ #,##0</c:formatCode>
                <c:ptCount val="16"/>
                <c:pt idx="0">
                  <c:v>-19660363.048229933</c:v>
                </c:pt>
                <c:pt idx="1">
                  <c:v>-59403010.665286541</c:v>
                </c:pt>
                <c:pt idx="2">
                  <c:v>-4170143.7937365789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-4408013.0743594542</c:v>
                </c:pt>
                <c:pt idx="12">
                  <c:v>0</c:v>
                </c:pt>
                <c:pt idx="13">
                  <c:v>-2909077.5930945873</c:v>
                </c:pt>
                <c:pt idx="14">
                  <c:v>-11165122.820893936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9A-4629-B5C4-F60EBD5E0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088880"/>
        <c:axId val="1621080976"/>
      </c:barChart>
      <c:catAx>
        <c:axId val="16210888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1621080976"/>
        <c:crosses val="autoZero"/>
        <c:auto val="1"/>
        <c:lblAlgn val="ctr"/>
        <c:lblOffset val="100"/>
        <c:noMultiLvlLbl val="0"/>
      </c:catAx>
      <c:valAx>
        <c:axId val="1621080976"/>
        <c:scaling>
          <c:orientation val="minMax"/>
        </c:scaling>
        <c:delete val="0"/>
        <c:axPos val="t"/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108888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backend!$F$3</c:f>
              <c:strCache>
                <c:ptCount val="1"/>
                <c:pt idx="0">
                  <c:v>Barras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FE-44CC-BAD5-1FDAB8B69990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FE-44CC-BAD5-1FDAB8B69990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FE-44CC-BAD5-1FDAB8B69990}"/>
              </c:ext>
            </c:extLst>
          </c:dPt>
          <c:dPt>
            <c:idx val="3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FE-44CC-BAD5-1FDAB8B69990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FE-44CC-BAD5-1FDAB8B69990}"/>
              </c:ext>
            </c:extLst>
          </c:dPt>
          <c:dPt>
            <c:idx val="5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FE-44CC-BAD5-1FDAB8B69990}"/>
              </c:ext>
            </c:extLst>
          </c:dPt>
          <c:dPt>
            <c:idx val="6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9FE-44CC-BAD5-1FDAB8B69990}"/>
              </c:ext>
            </c:extLst>
          </c:dPt>
          <c:dPt>
            <c:idx val="7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9FE-44CC-BAD5-1FDAB8B69990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9FE-44CC-BAD5-1FDAB8B69990}"/>
              </c:ext>
            </c:extLst>
          </c:dPt>
          <c:dPt>
            <c:idx val="9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9FE-44CC-BAD5-1FDAB8B69990}"/>
              </c:ext>
            </c:extLst>
          </c:dPt>
          <c:dPt>
            <c:idx val="1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9FE-44CC-BAD5-1FDAB8B69990}"/>
              </c:ext>
            </c:extLst>
          </c:dPt>
          <c:dPt>
            <c:idx val="1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9FE-44CC-BAD5-1FDAB8B69990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9FE-44CC-BAD5-1FDAB8B69990}"/>
              </c:ext>
            </c:extLst>
          </c:dPt>
          <c:dPt>
            <c:idx val="13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39FE-44CC-BAD5-1FDAB8B69990}"/>
              </c:ext>
            </c:extLst>
          </c:dPt>
          <c:dPt>
            <c:idx val="1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39FE-44CC-BAD5-1FDAB8B69990}"/>
              </c:ext>
            </c:extLst>
          </c:dPt>
          <c:dPt>
            <c:idx val="15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39FE-44CC-BAD5-1FDAB8B6999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E-44CC-BAD5-1FDAB8B699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E-44CC-BAD5-1FDAB8B6999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FE-44CC-BAD5-1FDAB8B6999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9FE-44CC-BAD5-1FDAB8B69990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9FE-44CC-BAD5-1FDAB8B6999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9FE-44CC-BAD5-1FDAB8B69990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9FE-44CC-BAD5-1FDAB8B6999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9FE-44CC-BAD5-1FDAB8B69990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9FE-44CC-BAD5-1FDAB8B69990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FE-44CC-BAD5-1FDAB8B69990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9FE-44CC-BAD5-1FDAB8B69990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9FE-44CC-BAD5-1FDAB8B69990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9FE-44CC-BAD5-1FDAB8B699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backend!$F$4:$F$19</c:f>
              <c:numCache>
                <c:formatCode>"$"\ #,##0</c:formatCode>
                <c:ptCount val="16"/>
                <c:pt idx="0">
                  <c:v>550376182.78329098</c:v>
                </c:pt>
                <c:pt idx="1">
                  <c:v>550376182.78329098</c:v>
                </c:pt>
                <c:pt idx="2">
                  <c:v>550376182.78329098</c:v>
                </c:pt>
                <c:pt idx="3">
                  <c:v>552048926.84052622</c:v>
                </c:pt>
                <c:pt idx="4">
                  <c:v>253729671.51319337</c:v>
                </c:pt>
                <c:pt idx="5">
                  <c:v>253729671.51319331</c:v>
                </c:pt>
                <c:pt idx="6">
                  <c:v>81407185.168089837</c:v>
                </c:pt>
                <c:pt idx="7">
                  <c:v>81407185.168089852</c:v>
                </c:pt>
                <c:pt idx="8">
                  <c:v>62406646.665128082</c:v>
                </c:pt>
                <c:pt idx="9">
                  <c:v>62406646.665128089</c:v>
                </c:pt>
                <c:pt idx="10">
                  <c:v>48720670.820832372</c:v>
                </c:pt>
                <c:pt idx="11">
                  <c:v>50903607.969843835</c:v>
                </c:pt>
                <c:pt idx="12">
                  <c:v>32589276.098161399</c:v>
                </c:pt>
                <c:pt idx="13">
                  <c:v>32589276.098161399</c:v>
                </c:pt>
                <c:pt idx="14">
                  <c:v>28618201.400107704</c:v>
                </c:pt>
                <c:pt idx="15">
                  <c:v>28618201.4001077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9FE-44CC-BAD5-1FDAB8B69990}"/>
            </c:ext>
          </c:extLst>
        </c:ser>
        <c:ser>
          <c:idx val="0"/>
          <c:order val="1"/>
          <c:tx>
            <c:strRef>
              <c:f>backend!$E$3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39FE-44CC-BAD5-1FDAB8B69990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39FE-44CC-BAD5-1FDAB8B69990}"/>
              </c:ext>
            </c:extLst>
          </c:dPt>
          <c:dPt>
            <c:idx val="2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39FE-44CC-BAD5-1FDAB8B69990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39FE-44CC-BAD5-1FDAB8B69990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39FE-44CC-BAD5-1FDAB8B69990}"/>
              </c:ext>
            </c:extLst>
          </c:dPt>
          <c:dPt>
            <c:idx val="5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39FE-44CC-BAD5-1FDAB8B69990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39FE-44CC-BAD5-1FDAB8B69990}"/>
              </c:ext>
            </c:extLst>
          </c:dPt>
          <c:dPt>
            <c:idx val="7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39FE-44CC-BAD5-1FDAB8B6999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39FE-44CC-BAD5-1FDAB8B69990}"/>
              </c:ext>
            </c:extLst>
          </c:dPt>
          <c:dPt>
            <c:idx val="9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39FE-44CC-BAD5-1FDAB8B69990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39FE-44CC-BAD5-1FDAB8B69990}"/>
              </c:ext>
            </c:extLst>
          </c:dPt>
          <c:dPt>
            <c:idx val="11"/>
            <c:invertIfNegative val="0"/>
            <c:bubble3D val="0"/>
            <c:spPr>
              <a:solidFill>
                <a:srgbClr val="9B97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39FE-44CC-BAD5-1FDAB8B69990}"/>
              </c:ext>
            </c:extLst>
          </c:dPt>
          <c:dPt>
            <c:idx val="1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39FE-44CC-BAD5-1FDAB8B69990}"/>
              </c:ext>
            </c:extLst>
          </c:dPt>
          <c:dPt>
            <c:idx val="1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39FE-44CC-BAD5-1FDAB8B69990}"/>
              </c:ext>
            </c:extLst>
          </c:dPt>
          <c:dPt>
            <c:idx val="1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39FE-44CC-BAD5-1FDAB8B69990}"/>
              </c:ext>
            </c:extLst>
          </c:dPt>
          <c:dPt>
            <c:idx val="15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39FE-44CC-BAD5-1FDAB8B6999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9FE-44CC-BAD5-1FDAB8B6999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9FE-44CC-BAD5-1FDAB8B6999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9FE-44CC-BAD5-1FDAB8B69990}"/>
                </c:ext>
              </c:extLst>
            </c:dLbl>
            <c:dLbl>
              <c:idx val="13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9FE-44CC-BAD5-1FDAB8B699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backend!$E$4:$E$19</c:f>
              <c:numCache>
                <c:formatCode>"$"\ #,##0</c:formatCode>
                <c:ptCount val="16"/>
                <c:pt idx="0">
                  <c:v>550376182.78329098</c:v>
                </c:pt>
                <c:pt idx="1">
                  <c:v>0</c:v>
                </c:pt>
                <c:pt idx="2">
                  <c:v>1672744.057235172</c:v>
                </c:pt>
                <c:pt idx="3">
                  <c:v>552048926.84052622</c:v>
                </c:pt>
                <c:pt idx="4">
                  <c:v>298319255.32733285</c:v>
                </c:pt>
                <c:pt idx="5">
                  <c:v>253729671.51319331</c:v>
                </c:pt>
                <c:pt idx="6">
                  <c:v>172322486.34510347</c:v>
                </c:pt>
                <c:pt idx="7">
                  <c:v>81407185.168089852</c:v>
                </c:pt>
                <c:pt idx="8">
                  <c:v>19000538.502961766</c:v>
                </c:pt>
                <c:pt idx="9">
                  <c:v>62406646.665128089</c:v>
                </c:pt>
                <c:pt idx="10">
                  <c:v>13685975.844295716</c:v>
                </c:pt>
                <c:pt idx="11">
                  <c:v>2182937.1490114625</c:v>
                </c:pt>
                <c:pt idx="12">
                  <c:v>18314331.871682435</c:v>
                </c:pt>
                <c:pt idx="13">
                  <c:v>32589276.098161399</c:v>
                </c:pt>
                <c:pt idx="14">
                  <c:v>3971074.6980536962</c:v>
                </c:pt>
                <c:pt idx="15">
                  <c:v>28618201.4001077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39FE-44CC-BAD5-1FDAB8B69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6336912"/>
        <c:axId val="1626337744"/>
      </c:barChart>
      <c:catAx>
        <c:axId val="162633691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1626337744"/>
        <c:crosses val="autoZero"/>
        <c:auto val="1"/>
        <c:lblAlgn val="ctr"/>
        <c:lblOffset val="300"/>
        <c:noMultiLvlLbl val="0"/>
      </c:catAx>
      <c:valAx>
        <c:axId val="1626337744"/>
        <c:scaling>
          <c:orientation val="minMax"/>
          <c:max val="900000000"/>
          <c:min val="-100000000"/>
        </c:scaling>
        <c:delete val="0"/>
        <c:axPos val="t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6336912"/>
        <c:crosses val="autoZero"/>
        <c:crossBetween val="between"/>
        <c:majorUnit val="200000000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backend!$L$3</c:f>
              <c:strCache>
                <c:ptCount val="1"/>
                <c:pt idx="0">
                  <c:v>aumenta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532A811-6BE2-4332-A4C8-97121487B7C0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96-4779-8AF5-8176D304DB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AC62AE-36B8-48E0-AA46-1D781C89D376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96-4779-8AF5-8176D304DB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944C84-BC79-4D95-A181-D20F27F7A57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96-4779-8AF5-8176D304DB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922E76-ABC3-4454-A5B7-A0C6088F4AB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96-4779-8AF5-8176D304DB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294ADE-A802-4C1B-91C1-6400ACEF89F7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96-4779-8AF5-8176D304DB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BD8B7D-4FDB-4A20-A489-C5AC7AC5ECDA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96-4779-8AF5-8176D304DB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0CBF2D-58F7-407C-BFFF-DA8C06158634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96-4779-8AF5-8176D304DB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ED5553-9354-49FB-95C1-81C9B8CD1E3C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96-4779-8AF5-8176D304DB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B73886-34E6-4008-927C-30C8534B6C3A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96-4779-8AF5-8176D304DB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87E5E0-BADB-490B-B85A-1EC05F064E29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96-4779-8AF5-8176D304DB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AD8C05-5B4E-482C-BF38-BFC0A1CA33F9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96-4779-8AF5-8176D304DB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E865FE-88CC-4B13-B1F3-CCF57BEEFABE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96-4779-8AF5-8176D304DB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56C6D4-E316-48E4-8268-CF86BBE5061A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96-4779-8AF5-8176D304DB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88A0C6-4E31-4C3F-9E3F-7391C6873E85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96-4779-8AF5-8176D304DB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C1B7F9-842D-41DD-BB2B-F46422D158E1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96-4779-8AF5-8176D304DB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86C5EE-DD1D-4C08-BC96-B862946963D3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96-4779-8AF5-8176D304DB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backend!$L$4:$L$19</c:f>
              <c:numCache>
                <c:formatCode>0.0%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6.8875368241417309E-2</c:v>
                </c:pt>
                <c:pt idx="4">
                  <c:v>1.2624612889563142E-2</c:v>
                </c:pt>
                <c:pt idx="5">
                  <c:v>0.14356324196243653</c:v>
                </c:pt>
                <c:pt idx="6">
                  <c:v>0.15974207976860275</c:v>
                </c:pt>
                <c:pt idx="7">
                  <c:v>0.11076230475881482</c:v>
                </c:pt>
                <c:pt idx="8">
                  <c:v>3.2392968030553235E-2</c:v>
                </c:pt>
                <c:pt idx="9">
                  <c:v>0.13704152790668089</c:v>
                </c:pt>
                <c:pt idx="10">
                  <c:v>4.6076212652203151E-2</c:v>
                </c:pt>
                <c:pt idx="11">
                  <c:v>0</c:v>
                </c:pt>
                <c:pt idx="12">
                  <c:v>0.42031564846735298</c:v>
                </c:pt>
                <c:pt idx="13">
                  <c:v>0</c:v>
                </c:pt>
                <c:pt idx="14">
                  <c:v>0</c:v>
                </c:pt>
                <c:pt idx="15">
                  <c:v>0.40546026451890227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backend!$K$4:$K$19</c15:f>
                <c15:dlblRangeCache>
                  <c:ptCount val="16"/>
                  <c:pt idx="0">
                    <c:v>-3,4%</c:v>
                  </c:pt>
                  <c:pt idx="1">
                    <c:v>-100,0%</c:v>
                  </c:pt>
                  <c:pt idx="2">
                    <c:v>-71,4%</c:v>
                  </c:pt>
                  <c:pt idx="3">
                    <c:v>6,9%</c:v>
                  </c:pt>
                  <c:pt idx="4">
                    <c:v>1,3%</c:v>
                  </c:pt>
                  <c:pt idx="5">
                    <c:v>14,4%</c:v>
                  </c:pt>
                  <c:pt idx="6">
                    <c:v>16,0%</c:v>
                  </c:pt>
                  <c:pt idx="7">
                    <c:v>11,1%</c:v>
                  </c:pt>
                  <c:pt idx="8">
                    <c:v>3,2%</c:v>
                  </c:pt>
                  <c:pt idx="9">
                    <c:v>13,7%</c:v>
                  </c:pt>
                  <c:pt idx="10">
                    <c:v>4,6%</c:v>
                  </c:pt>
                  <c:pt idx="11">
                    <c:v>-66,9%</c:v>
                  </c:pt>
                  <c:pt idx="12">
                    <c:v>42,0%</c:v>
                  </c:pt>
                  <c:pt idx="13">
                    <c:v>-8,2%</c:v>
                  </c:pt>
                  <c:pt idx="14">
                    <c:v>-73,8%</c:v>
                  </c:pt>
                  <c:pt idx="15">
                    <c:v>40,5%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0096-4779-8AF5-8176D304DB50}"/>
            </c:ext>
          </c:extLst>
        </c:ser>
        <c:ser>
          <c:idx val="1"/>
          <c:order val="1"/>
          <c:tx>
            <c:strRef>
              <c:f>backend!$M$3</c:f>
              <c:strCache>
                <c:ptCount val="1"/>
                <c:pt idx="0">
                  <c:v>disminuye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backend!$B$4:$B$19</c:f>
              <c:strCache>
                <c:ptCount val="16"/>
                <c:pt idx="0">
                  <c:v>Ingresos Brutos</c:v>
                </c:pt>
                <c:pt idx="1">
                  <c:v>(Devoluciones, Rebajas y Descuentos)</c:v>
                </c:pt>
                <c:pt idx="2">
                  <c:v>Otros Ing. Operacionales</c:v>
                </c:pt>
                <c:pt idx="3">
                  <c:v>Ingresos Operacionales</c:v>
                </c:pt>
                <c:pt idx="4">
                  <c:v>Costo de Ventas</c:v>
                </c:pt>
                <c:pt idx="5">
                  <c:v>Utilidad Bruta</c:v>
                </c:pt>
                <c:pt idx="6">
                  <c:v>Gastos Operacionales</c:v>
                </c:pt>
                <c:pt idx="7">
                  <c:v>EBITDA</c:v>
                </c:pt>
                <c:pt idx="8">
                  <c:v>Depreciación y Amortización</c:v>
                </c:pt>
                <c:pt idx="9">
                  <c:v>Utilidad Operacional</c:v>
                </c:pt>
                <c:pt idx="10">
                  <c:v>Gasto de Intereses</c:v>
                </c:pt>
                <c:pt idx="11">
                  <c:v>Otros Ingresos</c:v>
                </c:pt>
                <c:pt idx="12">
                  <c:v>Otros Egresos</c:v>
                </c:pt>
                <c:pt idx="13">
                  <c:v>Utilidad antes de impuestos</c:v>
                </c:pt>
                <c:pt idx="14">
                  <c:v>Provisión Impuesto a la Renta</c:v>
                </c:pt>
                <c:pt idx="15">
                  <c:v>Utilidad Neta</c:v>
                </c:pt>
              </c:strCache>
            </c:strRef>
          </c:cat>
          <c:val>
            <c:numRef>
              <c:f>backend!$M$4:$M$19</c:f>
              <c:numCache>
                <c:formatCode>0.0%</c:formatCode>
                <c:ptCount val="16"/>
                <c:pt idx="0">
                  <c:v>-3.4489653675714889E-2</c:v>
                </c:pt>
                <c:pt idx="1">
                  <c:v>-1</c:v>
                </c:pt>
                <c:pt idx="2">
                  <c:v>-0.71371279067816229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-0.66879780987103132</c:v>
                </c:pt>
                <c:pt idx="12">
                  <c:v>0</c:v>
                </c:pt>
                <c:pt idx="13">
                  <c:v>-8.1949648099065395E-2</c:v>
                </c:pt>
                <c:pt idx="14">
                  <c:v>-0.73764383735857908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96-4779-8AF5-8176D304D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088880"/>
        <c:axId val="1621080976"/>
      </c:barChart>
      <c:catAx>
        <c:axId val="16210888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1621080976"/>
        <c:crosses val="autoZero"/>
        <c:auto val="1"/>
        <c:lblAlgn val="ctr"/>
        <c:lblOffset val="100"/>
        <c:noMultiLvlLbl val="0"/>
      </c:catAx>
      <c:valAx>
        <c:axId val="1621080976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108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backend!$B$23</c:f>
              <c:strCache>
                <c:ptCount val="1"/>
                <c:pt idx="0">
                  <c:v>Ventas Nacionales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backend!$F$23:$G$23</c:f>
              <c:numCache>
                <c:formatCode>0.0%</c:formatCode>
                <c:ptCount val="2"/>
                <c:pt idx="0">
                  <c:v>0.81749144553970399</c:v>
                </c:pt>
                <c:pt idx="1">
                  <c:v>0.79945319872244547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E-4B0C-A8CA-600F5FEF575E}"/>
            </c:ext>
          </c:extLst>
        </c:ser>
        <c:ser>
          <c:idx val="1"/>
          <c:order val="1"/>
          <c:tx>
            <c:strRef>
              <c:f>backend!$B$24</c:f>
              <c:strCache>
                <c:ptCount val="1"/>
                <c:pt idx="0">
                  <c:v>Ventas Internacionales</c:v>
                </c:pt>
              </c:strCache>
            </c:strRef>
          </c:tx>
          <c:spPr>
            <a:solidFill>
              <a:srgbClr val="1A0C3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backend!$F$24:$G$24</c:f>
              <c:numCache>
                <c:formatCode>0.0%</c:formatCode>
                <c:ptCount val="2"/>
                <c:pt idx="0">
                  <c:v>0.13332478510947962</c:v>
                </c:pt>
                <c:pt idx="1">
                  <c:v>0.13081961433640016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E-4B0C-A8CA-600F5FEF575E}"/>
            </c:ext>
          </c:extLst>
        </c:ser>
        <c:ser>
          <c:idx val="2"/>
          <c:order val="2"/>
          <c:tx>
            <c:strRef>
              <c:f>backend!$B$25</c:f>
              <c:strCache>
                <c:ptCount val="1"/>
                <c:pt idx="0">
                  <c:v>E-commerce / Online</c:v>
                </c:pt>
              </c:strCache>
            </c:strRef>
          </c:tx>
          <c:spPr>
            <a:solidFill>
              <a:srgbClr val="5CEEEE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backend!$F$25:$G$25</c:f>
              <c:numCache>
                <c:formatCode>0.0%</c:formatCode>
                <c:ptCount val="2"/>
                <c:pt idx="0">
                  <c:v>4.9183769350816323E-2</c:v>
                </c:pt>
                <c:pt idx="1">
                  <c:v>6.9727186941154387E-2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2E-4B0C-A8CA-600F5FEF5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4055695"/>
        <c:axId val="644056111"/>
      </c:barChart>
      <c:catAx>
        <c:axId val="644055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056111"/>
        <c:crosses val="autoZero"/>
        <c:auto val="1"/>
        <c:lblAlgn val="ctr"/>
        <c:lblOffset val="100"/>
        <c:noMultiLvlLbl val="0"/>
      </c:catAx>
      <c:valAx>
        <c:axId val="644056111"/>
        <c:scaling>
          <c:orientation val="minMax"/>
          <c:max val="1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055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backend!$B$27</c:f>
              <c:strCache>
                <c:ptCount val="1"/>
                <c:pt idx="0">
                  <c:v>Ingresos por alquiler de espacios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backend!$F$27:$G$27</c:f>
              <c:numCache>
                <c:formatCode>0%</c:formatCode>
                <c:ptCount val="2"/>
                <c:pt idx="0">
                  <c:v>0.4107557769377061</c:v>
                </c:pt>
                <c:pt idx="1">
                  <c:v>1.898958526745776E-3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1-44E9-8E98-0AB911370EAD}"/>
            </c:ext>
          </c:extLst>
        </c:ser>
        <c:ser>
          <c:idx val="1"/>
          <c:order val="1"/>
          <c:tx>
            <c:strRef>
              <c:f>backend!$B$28</c:f>
              <c:strCache>
                <c:ptCount val="1"/>
                <c:pt idx="0">
                  <c:v>Comisiones y servicios logísticos</c:v>
                </c:pt>
              </c:strCache>
            </c:strRef>
          </c:tx>
          <c:spPr>
            <a:solidFill>
              <a:srgbClr val="1A0C3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backend!$F$28:$G$28</c:f>
              <c:numCache>
                <c:formatCode>0%</c:formatCode>
                <c:ptCount val="2"/>
                <c:pt idx="0">
                  <c:v>0.34963668651529861</c:v>
                </c:pt>
                <c:pt idx="1">
                  <c:v>0.99746805529767235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D1-44E9-8E98-0AB911370EAD}"/>
            </c:ext>
          </c:extLst>
        </c:ser>
        <c:ser>
          <c:idx val="2"/>
          <c:order val="2"/>
          <c:tx>
            <c:strRef>
              <c:f>backend!$B$29</c:f>
              <c:strCache>
                <c:ptCount val="1"/>
                <c:pt idx="0">
                  <c:v>Ingresos por programas de fidelización</c:v>
                </c:pt>
              </c:strCache>
            </c:strRef>
          </c:tx>
          <c:spPr>
            <a:solidFill>
              <a:srgbClr val="5CEEE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backend!$F$29:$G$29</c:f>
              <c:numCache>
                <c:formatCode>0%</c:formatCode>
                <c:ptCount val="2"/>
                <c:pt idx="0">
                  <c:v>0.23960753654699524</c:v>
                </c:pt>
                <c:pt idx="1">
                  <c:v>6.3298617558192529E-4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D1-44E9-8E98-0AB911370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4055695"/>
        <c:axId val="644056111"/>
      </c:barChart>
      <c:catAx>
        <c:axId val="644055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056111"/>
        <c:crosses val="autoZero"/>
        <c:auto val="1"/>
        <c:lblAlgn val="ctr"/>
        <c:lblOffset val="100"/>
        <c:noMultiLvlLbl val="0"/>
      </c:catAx>
      <c:valAx>
        <c:axId val="644056111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055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backend!$B$31</c:f>
              <c:strCache>
                <c:ptCount val="1"/>
                <c:pt idx="0">
                  <c:v>Costo de Mercancía Vendida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backend!$F$31:$G$31</c:f>
              <c:numCache>
                <c:formatCode>0%</c:formatCode>
                <c:ptCount val="2"/>
                <c:pt idx="0">
                  <c:v>0.6954101856813345</c:v>
                </c:pt>
                <c:pt idx="1">
                  <c:v>0.71645265140956638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D-492F-BBB7-BF88BFE4A8CA}"/>
            </c:ext>
          </c:extLst>
        </c:ser>
        <c:ser>
          <c:idx val="1"/>
          <c:order val="1"/>
          <c:tx>
            <c:strRef>
              <c:f>backend!$B$32</c:f>
              <c:strCache>
                <c:ptCount val="1"/>
                <c:pt idx="0">
                  <c:v>Transporte y Logística</c:v>
                </c:pt>
              </c:strCache>
            </c:strRef>
          </c:tx>
          <c:spPr>
            <a:solidFill>
              <a:srgbClr val="1A0C3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backend!$F$32:$G$32</c:f>
              <c:numCache>
                <c:formatCode>0%</c:formatCode>
                <c:ptCount val="2"/>
                <c:pt idx="0">
                  <c:v>0.1147426806374202</c:v>
                </c:pt>
                <c:pt idx="1">
                  <c:v>0.11022348483224098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ED-492F-BBB7-BF88BFE4A8CA}"/>
            </c:ext>
          </c:extLst>
        </c:ser>
        <c:ser>
          <c:idx val="2"/>
          <c:order val="2"/>
          <c:tx>
            <c:strRef>
              <c:f>backend!$B$33</c:f>
              <c:strCache>
                <c:ptCount val="1"/>
                <c:pt idx="0">
                  <c:v>Personal de Tienda</c:v>
                </c:pt>
              </c:strCache>
            </c:strRef>
          </c:tx>
          <c:spPr>
            <a:solidFill>
              <a:srgbClr val="5CEEE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backend!$F$33:$G$33</c:f>
              <c:numCache>
                <c:formatCode>0%</c:formatCode>
                <c:ptCount val="2"/>
                <c:pt idx="0">
                  <c:v>0.1529902408498936</c:v>
                </c:pt>
                <c:pt idx="1">
                  <c:v>0.14122383994130874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ED-492F-BBB7-BF88BFE4A8CA}"/>
            </c:ext>
          </c:extLst>
        </c:ser>
        <c:ser>
          <c:idx val="3"/>
          <c:order val="3"/>
          <c:tx>
            <c:strRef>
              <c:f>backend!$B$34</c:f>
              <c:strCache>
                <c:ptCount val="1"/>
                <c:pt idx="0">
                  <c:v>Mermas y Pérdidas</c:v>
                </c:pt>
              </c:strCache>
            </c:strRef>
          </c:tx>
          <c:spPr>
            <a:solidFill>
              <a:srgbClr val="7EB442"/>
            </a:solidFill>
            <a:ln>
              <a:noFill/>
            </a:ln>
            <a:effectLst/>
          </c:spPr>
          <c:invertIfNegative val="0"/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backend!$F$34:$G$34</c:f>
              <c:numCache>
                <c:formatCode>0%</c:formatCode>
                <c:ptCount val="2"/>
                <c:pt idx="0">
                  <c:v>2.0862305570440037E-2</c:v>
                </c:pt>
                <c:pt idx="1">
                  <c:v>1.8944661455541419E-2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ED-492F-BBB7-BF88BFE4A8CA}"/>
            </c:ext>
          </c:extLst>
        </c:ser>
        <c:ser>
          <c:idx val="4"/>
          <c:order val="4"/>
          <c:tx>
            <c:strRef>
              <c:f>backend!$B$35</c:f>
              <c:strCache>
                <c:ptCount val="1"/>
                <c:pt idx="0">
                  <c:v>Servicios Públicos / Suministros</c:v>
                </c:pt>
              </c:strCache>
            </c:strRef>
          </c:tx>
          <c:spPr>
            <a:solidFill>
              <a:srgbClr val="5C0DFB"/>
            </a:solidFill>
            <a:ln>
              <a:noFill/>
            </a:ln>
            <a:effectLst/>
          </c:spPr>
          <c:invertIfNegative val="0"/>
          <c:cat>
            <c:numRef>
              <c:f>backend!$F$21:$G$21</c:f>
              <c:numCache>
                <c:formatCode>General</c:formatCode>
                <c:ptCount val="2"/>
                <c:pt idx="0">
                  <c:v>2021</c:v>
                </c:pt>
                <c:pt idx="1">
                  <c:v>2024</c:v>
                </c:pt>
              </c:numCache>
            </c:numRef>
          </c:cat>
          <c:val>
            <c:numRef>
              <c:f>backend!$F$35:$G$35</c:f>
              <c:numCache>
                <c:formatCode>0%</c:formatCode>
                <c:ptCount val="2"/>
                <c:pt idx="0">
                  <c:v>1.5994587260911543E-2</c:v>
                </c:pt>
                <c:pt idx="1">
                  <c:v>1.3155362361342517E-2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92F-BBB7-BF88BFE4A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4055695"/>
        <c:axId val="644056111"/>
      </c:barChart>
      <c:catAx>
        <c:axId val="644055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056111"/>
        <c:crosses val="autoZero"/>
        <c:auto val="1"/>
        <c:lblAlgn val="ctr"/>
        <c:lblOffset val="100"/>
        <c:noMultiLvlLbl val="0"/>
      </c:catAx>
      <c:valAx>
        <c:axId val="644056111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055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182074593938772E-2"/>
          <c:y val="0.78487402304000176"/>
          <c:w val="0.9233116299210602"/>
          <c:h val="0.17349334396914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</cx:strDim>
      <cx:numDim type="val">
        <cx:f>_xlchart.v5.3</cx:f>
      </cx:numDim>
    </cx:data>
  </cx:chartData>
  <cx:chart>
    <cx:plotArea>
      <cx:plotAreaRegion>
        <cx:series layoutId="waterfall" uniqueId="{326B71A1-0C3C-4274-ABD7-14378E803F30}">
          <cx:dataLabels pos="outEnd">
            <cx:visibility seriesName="0" categoryName="0" value="1"/>
          </cx:dataLabels>
          <cx:dataId val="0"/>
          <cx:layoutPr>
            <cx:subtotals>
              <cx:idx val="0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s-ES" sz="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ckLabels/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5EC067"/>
        </a:solidFill>
      </cx:spPr>
    </cx:fmtOvr>
    <cx:fmtOvr idx="1">
      <cx:spPr>
        <a:solidFill>
          <a:srgbClr val="DA422E"/>
        </a:solidFill>
      </cx:spPr>
    </cx:fmtOvr>
    <cx:fmtOvr idx="2">
      <cx:spPr>
        <a:solidFill>
          <a:srgbClr val="9B979B"/>
        </a:solidFill>
      </cx:spPr>
    </cx:fmtOvr>
  </cx:fmtOvr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</cx:f>
      </cx:strDim>
      <cx:numDim type="val">
        <cx:f>_xlchart.v5.5</cx:f>
      </cx:numDim>
    </cx:data>
  </cx:chartData>
  <cx:chart>
    <cx:plotArea>
      <cx:plotAreaRegion>
        <cx:series layoutId="waterfall" uniqueId="{326B71A1-0C3C-4274-ABD7-14378E803F30}">
          <cx:dataLabels pos="outEnd">
            <cx:visibility seriesName="0" categoryName="0" value="1"/>
          </cx:dataLabels>
          <cx:dataId val="0"/>
          <cx:layoutPr>
            <cx:subtotals>
              <cx:idx val="0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s-ES" sz="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ckLabels/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5EC067"/>
        </a:solidFill>
      </cx:spPr>
    </cx:fmtOvr>
    <cx:fmtOvr idx="1">
      <cx:spPr>
        <a:solidFill>
          <a:srgbClr val="DA422E"/>
        </a:solidFill>
      </cx:spPr>
    </cx:fmtOvr>
    <cx:fmtOvr idx="2">
      <cx:spPr>
        <a:solidFill>
          <a:srgbClr val="9B979B"/>
        </a:solidFill>
      </cx:spPr>
    </cx:fmtOvr>
  </cx:fmtOvr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26B71A1-0C3C-4274-ABD7-14378E803F30}">
          <cx:dataLabels pos="outEnd">
            <cx:visibility seriesName="0" categoryName="0" value="1"/>
          </cx:dataLabels>
          <cx:dataId val="0"/>
          <cx:layoutPr>
            <cx:subtotals>
              <cx:idx val="0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s-ES" sz="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ckLabels/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DA422E"/>
        </a:solidFill>
      </cx:spPr>
    </cx:fmtOvr>
    <cx:fmtOvr idx="1">
      <cx:spPr>
        <a:solidFill>
          <a:srgbClr val="5EC067"/>
        </a:solidFill>
      </cx:spPr>
    </cx:fmtOvr>
    <cx:fmtOvr idx="2">
      <cx:spPr>
        <a:solidFill>
          <a:srgbClr val="9B979B"/>
        </a:solidFill>
      </cx:spPr>
    </cx:fmtOvr>
  </cx:fmtOvrs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</cx:strDim>
      <cx:numDim type="val">
        <cx:f>_xlchart.v5.7</cx:f>
      </cx:numDim>
    </cx:data>
  </cx:chartData>
  <cx:chart>
    <cx:plotArea>
      <cx:plotAreaRegion>
        <cx:series layoutId="waterfall" uniqueId="{40A3905F-BD67-4B42-B37E-9CC4643FDDD4}">
          <cx:dataLabels pos="outEnd">
            <cx:visibility seriesName="0" categoryName="0" value="1"/>
          </cx:dataLabels>
          <cx:dataId val="0"/>
          <cx:layoutPr>
            <cx:subtotals>
              <cx:idx val="5"/>
              <cx:idx val="11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500"/>
            </a:pPr>
            <a:endParaRPr lang="es-ES" sz="5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units unit="millions"/>
        <cx:tickLabels/>
      </cx:axis>
    </cx:plotArea>
    <cx:legend pos="b" align="ctr" overlay="0">
      <cx:spPr>
        <a:noFill/>
        <a:ln>
          <a:noFill/>
        </a:ln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/>
          </a:pPr>
          <a:endParaRPr lang="es-ES" sz="5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5EC067"/>
        </a:solidFill>
      </cx:spPr>
    </cx:fmtOvr>
    <cx:fmtOvr idx="1">
      <cx:spPr>
        <a:solidFill>
          <a:srgbClr val="DA422E"/>
        </a:solidFill>
      </cx:spPr>
    </cx:fmtOvr>
  </cx:fmtOvr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_xlchart.v5.10</cx:f>
      </cx:strDim>
      <cx:numDim type="val">
        <cx:f>_xlchart.v5.11</cx:f>
      </cx:numDim>
    </cx:data>
  </cx:chartData>
  <cx:chart>
    <cx:plotArea>
      <cx:plotAreaRegion>
        <cx:series layoutId="waterfall" uniqueId="{40A3905F-BD67-4B42-B37E-9CC4643FDDD4}">
          <cx:dataLabels pos="outEnd">
            <cx:visibility seriesName="0" categoryName="0" value="1"/>
          </cx:dataLabels>
          <cx:dataId val="0"/>
          <cx:layoutPr>
            <cx:subtotals>
              <cx:idx val="6"/>
              <cx:idx val="9"/>
              <cx:idx val="10"/>
              <cx:idx val="11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500"/>
            </a:pPr>
            <a:endParaRPr lang="es-ES" sz="5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units unit="millions"/>
        <cx:tickLabels/>
      </cx:axis>
    </cx:plotArea>
    <cx:legend pos="b" align="ctr" overlay="0">
      <cx:spPr>
        <a:noFill/>
        <a:ln>
          <a:noFill/>
        </a:ln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/>
          </a:pPr>
          <a:endParaRPr lang="es-ES" sz="5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DA422E"/>
        </a:solidFill>
      </cx:spPr>
    </cx:fmtOvr>
    <cx:fmtOvr idx="1">
      <cx:spPr>
        <a:solidFill>
          <a:srgbClr val="7EB442"/>
        </a:solidFill>
      </cx:spPr>
    </cx:fmtOvr>
  </cx:fmtOvrs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_xlchart.v5.8</cx:f>
      </cx:strDim>
      <cx:numDim type="val">
        <cx:f>_xlchart.v5.9</cx:f>
      </cx:numDim>
    </cx:data>
  </cx:chartData>
  <cx:chart>
    <cx:plotArea>
      <cx:plotAreaRegion>
        <cx:series layoutId="waterfall" uniqueId="{40A3905F-BD67-4B42-B37E-9CC4643FDDD4}">
          <cx:dataLabels pos="outEnd">
            <cx:visibility seriesName="0" categoryName="0" value="1"/>
          </cx:dataLabels>
          <cx:dataId val="0"/>
          <cx:layoutPr>
            <cx:subtotals>
              <cx:idx val="6"/>
              <cx:idx val="9"/>
              <cx:idx val="10"/>
              <cx:idx val="11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500"/>
            </a:pPr>
            <a:endParaRPr lang="es-ES" sz="5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units unit="millions"/>
        <cx:tickLabels/>
      </cx:axis>
    </cx:plotArea>
    <cx:legend pos="b" align="ctr" overlay="0">
      <cx:spPr>
        <a:noFill/>
        <a:ln>
          <a:noFill/>
        </a:ln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/>
          </a:pPr>
          <a:endParaRPr lang="es-ES" sz="5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5EC067"/>
        </a:solidFill>
      </cx:spPr>
    </cx:fmtOvr>
    <cx:fmtOvr idx="1">
      <cx:spPr>
        <a:solidFill>
          <a:srgbClr val="DA422E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12" Type="http://schemas.openxmlformats.org/officeDocument/2006/relationships/hyperlink" Target="#'Dashboard-EIR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2.xml"/><Relationship Id="rId11" Type="http://schemas.openxmlformats.org/officeDocument/2006/relationships/hyperlink" Target="#'Dashboard-ESF'!A1"/><Relationship Id="rId5" Type="http://schemas.microsoft.com/office/2014/relationships/chartEx" Target="../charts/chartEx1.xml"/><Relationship Id="rId10" Type="http://schemas.openxmlformats.org/officeDocument/2006/relationships/chart" Target="../charts/chart7.xml"/><Relationship Id="rId4" Type="http://schemas.openxmlformats.org/officeDocument/2006/relationships/chart" Target="../charts/chart4.xml"/><Relationship Id="rId9" Type="http://schemas.microsoft.com/office/2014/relationships/chartEx" Target="../charts/chartEx3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microsoft.com/office/2014/relationships/chartEx" Target="../charts/chartEx5.xml"/><Relationship Id="rId1" Type="http://schemas.microsoft.com/office/2014/relationships/chartEx" Target="../charts/chartEx4.xml"/><Relationship Id="rId4" Type="http://schemas.openxmlformats.org/officeDocument/2006/relationships/hyperlink" Target="#'Dashboard-EI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137458</xdr:colOff>
      <xdr:row>27</xdr:row>
      <xdr:rowOff>62754</xdr:rowOff>
    </xdr:from>
    <xdr:to>
      <xdr:col>11</xdr:col>
      <xdr:colOff>455706</xdr:colOff>
      <xdr:row>50</xdr:row>
      <xdr:rowOff>137459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D77D817-612C-4A26-B055-AC9F7F4836A1}"/>
            </a:ext>
          </a:extLst>
        </xdr:cNvPr>
        <xdr:cNvSpPr/>
      </xdr:nvSpPr>
      <xdr:spPr>
        <a:xfrm>
          <a:off x="4440517" y="4589930"/>
          <a:ext cx="4890248" cy="4370294"/>
        </a:xfrm>
        <a:prstGeom prst="roundRect">
          <a:avLst/>
        </a:prstGeom>
        <a:solidFill>
          <a:srgbClr val="F2F2F2">
            <a:alpha val="5019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74705</xdr:colOff>
      <xdr:row>27</xdr:row>
      <xdr:rowOff>59766</xdr:rowOff>
    </xdr:from>
    <xdr:to>
      <xdr:col>5</xdr:col>
      <xdr:colOff>82176</xdr:colOff>
      <xdr:row>50</xdr:row>
      <xdr:rowOff>134471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587F1DE-3272-4188-BC67-EC62C68666C4}"/>
            </a:ext>
          </a:extLst>
        </xdr:cNvPr>
        <xdr:cNvSpPr/>
      </xdr:nvSpPr>
      <xdr:spPr>
        <a:xfrm>
          <a:off x="74705" y="4586942"/>
          <a:ext cx="4310530" cy="4370294"/>
        </a:xfrm>
        <a:prstGeom prst="roundRect">
          <a:avLst/>
        </a:prstGeom>
        <a:solidFill>
          <a:srgbClr val="F2F2F2">
            <a:alpha val="5019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0</xdr:colOff>
      <xdr:row>7</xdr:row>
      <xdr:rowOff>84495</xdr:rowOff>
    </xdr:from>
    <xdr:to>
      <xdr:col>5</xdr:col>
      <xdr:colOff>490631</xdr:colOff>
      <xdr:row>25</xdr:row>
      <xdr:rowOff>172666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87CE07-0EAD-4E95-84EE-AFC68CBB3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376040</xdr:colOff>
      <xdr:row>7</xdr:row>
      <xdr:rowOff>86592</xdr:rowOff>
    </xdr:from>
    <xdr:to>
      <xdr:col>11</xdr:col>
      <xdr:colOff>615099</xdr:colOff>
      <xdr:row>25</xdr:row>
      <xdr:rowOff>172658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FB7FC38-C164-42FB-9E8B-661D3DD58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182383</xdr:colOff>
      <xdr:row>7</xdr:row>
      <xdr:rowOff>80990</xdr:rowOff>
    </xdr:from>
    <xdr:to>
      <xdr:col>9</xdr:col>
      <xdr:colOff>67235</xdr:colOff>
      <xdr:row>25</xdr:row>
      <xdr:rowOff>169161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FB13664-83AB-46F6-A730-933FC8D08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336819</xdr:colOff>
      <xdr:row>7</xdr:row>
      <xdr:rowOff>80989</xdr:rowOff>
    </xdr:from>
    <xdr:to>
      <xdr:col>14</xdr:col>
      <xdr:colOff>314407</xdr:colOff>
      <xdr:row>25</xdr:row>
      <xdr:rowOff>167055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7DF3160-9B9F-477D-92AD-0D50359E7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14112</xdr:colOff>
      <xdr:row>11</xdr:row>
      <xdr:rowOff>183272</xdr:rowOff>
    </xdr:from>
    <xdr:to>
      <xdr:col>14</xdr:col>
      <xdr:colOff>289278</xdr:colOff>
      <xdr:row>12</xdr:row>
      <xdr:rowOff>11531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F80094C1-0F79-455E-A7D5-0D50DFE935AC}"/>
            </a:ext>
          </a:extLst>
        </xdr:cNvPr>
        <xdr:cNvCxnSpPr/>
      </xdr:nvCxnSpPr>
      <xdr:spPr>
        <a:xfrm flipV="1">
          <a:off x="14112" y="1670101"/>
          <a:ext cx="11403154" cy="141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</xdr:row>
      <xdr:rowOff>188193</xdr:rowOff>
    </xdr:from>
    <xdr:to>
      <xdr:col>14</xdr:col>
      <xdr:colOff>275166</xdr:colOff>
      <xdr:row>14</xdr:row>
      <xdr:rowOff>16453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D3180D67-4F9C-415D-97B3-879816C64F4C}"/>
            </a:ext>
          </a:extLst>
        </xdr:cNvPr>
        <xdr:cNvCxnSpPr/>
      </xdr:nvCxnSpPr>
      <xdr:spPr>
        <a:xfrm flipV="1">
          <a:off x="0" y="2054473"/>
          <a:ext cx="11403154" cy="2185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192426</xdr:rowOff>
    </xdr:from>
    <xdr:to>
      <xdr:col>14</xdr:col>
      <xdr:colOff>275166</xdr:colOff>
      <xdr:row>16</xdr:row>
      <xdr:rowOff>20685</xdr:rowOff>
    </xdr:to>
    <xdr:cxnSp macro="">
      <xdr:nvCxnSpPr>
        <xdr:cNvPr id="46" name="Conector recto 45">
          <a:extLst>
            <a:ext uri="{FF2B5EF4-FFF2-40B4-BE49-F238E27FC236}">
              <a16:creationId xmlns:a16="http://schemas.microsoft.com/office/drawing/2014/main" id="{188FEE2F-691D-4FCF-ACA0-FF11CF535CFB}"/>
            </a:ext>
          </a:extLst>
        </xdr:cNvPr>
        <xdr:cNvCxnSpPr/>
      </xdr:nvCxnSpPr>
      <xdr:spPr>
        <a:xfrm flipV="1">
          <a:off x="0" y="2438158"/>
          <a:ext cx="11403154" cy="2185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11289</xdr:colOff>
      <xdr:row>18</xdr:row>
      <xdr:rowOff>10805</xdr:rowOff>
    </xdr:from>
    <xdr:to>
      <xdr:col>14</xdr:col>
      <xdr:colOff>286455</xdr:colOff>
      <xdr:row>18</xdr:row>
      <xdr:rowOff>24918</xdr:rowOff>
    </xdr:to>
    <xdr:cxnSp macro="">
      <xdr:nvCxnSpPr>
        <xdr:cNvPr id="47" name="Conector recto 46">
          <a:extLst>
            <a:ext uri="{FF2B5EF4-FFF2-40B4-BE49-F238E27FC236}">
              <a16:creationId xmlns:a16="http://schemas.microsoft.com/office/drawing/2014/main" id="{EB20025E-0DF4-4A1E-9661-860702975CBF}"/>
            </a:ext>
          </a:extLst>
        </xdr:cNvPr>
        <xdr:cNvCxnSpPr/>
      </xdr:nvCxnSpPr>
      <xdr:spPr>
        <a:xfrm flipV="1">
          <a:off x="11289" y="2829585"/>
          <a:ext cx="11403154" cy="141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8467</xdr:colOff>
      <xdr:row>22</xdr:row>
      <xdr:rowOff>6606</xdr:rowOff>
    </xdr:from>
    <xdr:to>
      <xdr:col>14</xdr:col>
      <xdr:colOff>283633</xdr:colOff>
      <xdr:row>22</xdr:row>
      <xdr:rowOff>20719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29FF2B4C-914F-415C-B688-7D5DFBABA943}"/>
            </a:ext>
          </a:extLst>
        </xdr:cNvPr>
        <xdr:cNvCxnSpPr/>
      </xdr:nvCxnSpPr>
      <xdr:spPr>
        <a:xfrm flipV="1">
          <a:off x="8467" y="3576545"/>
          <a:ext cx="11403154" cy="141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24</xdr:row>
      <xdr:rowOff>10839</xdr:rowOff>
    </xdr:from>
    <xdr:to>
      <xdr:col>14</xdr:col>
      <xdr:colOff>275166</xdr:colOff>
      <xdr:row>24</xdr:row>
      <xdr:rowOff>24952</xdr:rowOff>
    </xdr:to>
    <xdr:cxnSp macro="">
      <xdr:nvCxnSpPr>
        <xdr:cNvPr id="49" name="Conector recto 48">
          <a:extLst>
            <a:ext uri="{FF2B5EF4-FFF2-40B4-BE49-F238E27FC236}">
              <a16:creationId xmlns:a16="http://schemas.microsoft.com/office/drawing/2014/main" id="{83270327-125B-484A-838B-FB6B50417547}"/>
            </a:ext>
          </a:extLst>
        </xdr:cNvPr>
        <xdr:cNvCxnSpPr/>
      </xdr:nvCxnSpPr>
      <xdr:spPr>
        <a:xfrm flipV="1">
          <a:off x="0" y="3960229"/>
          <a:ext cx="11403154" cy="141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126999</xdr:colOff>
      <xdr:row>6</xdr:row>
      <xdr:rowOff>18142</xdr:rowOff>
    </xdr:from>
    <xdr:to>
      <xdr:col>5</xdr:col>
      <xdr:colOff>45356</xdr:colOff>
      <xdr:row>7</xdr:row>
      <xdr:rowOff>81643</xdr:rowOff>
    </xdr:to>
    <xdr:sp macro="" textlink="$B$4">
      <xdr:nvSpPr>
        <xdr:cNvPr id="2" name="CuadroTexto 1">
          <a:extLst>
            <a:ext uri="{FF2B5EF4-FFF2-40B4-BE49-F238E27FC236}">
              <a16:creationId xmlns:a16="http://schemas.microsoft.com/office/drawing/2014/main" id="{2CD4CED1-1B1E-4CCC-B5CB-6BCA7AE3B159}"/>
            </a:ext>
          </a:extLst>
        </xdr:cNvPr>
        <xdr:cNvSpPr txBox="1"/>
      </xdr:nvSpPr>
      <xdr:spPr>
        <a:xfrm>
          <a:off x="2149928" y="562428"/>
          <a:ext cx="2204357" cy="2449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A8C360C-8353-4836-9407-E7DC22A85B8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2021</a:t>
          </a:fld>
          <a:endParaRPr lang="es-CO" sz="1100"/>
        </a:p>
      </xdr:txBody>
    </xdr:sp>
    <xdr:clientData/>
  </xdr:twoCellAnchor>
  <xdr:twoCellAnchor>
    <xdr:from>
      <xdr:col>5</xdr:col>
      <xdr:colOff>444499</xdr:colOff>
      <xdr:row>6</xdr:row>
      <xdr:rowOff>18142</xdr:rowOff>
    </xdr:from>
    <xdr:to>
      <xdr:col>8</xdr:col>
      <xdr:colOff>362856</xdr:colOff>
      <xdr:row>7</xdr:row>
      <xdr:rowOff>81643</xdr:rowOff>
    </xdr:to>
    <xdr:sp macro="" textlink="$B$5">
      <xdr:nvSpPr>
        <xdr:cNvPr id="14" name="CuadroTexto 13">
          <a:extLst>
            <a:ext uri="{FF2B5EF4-FFF2-40B4-BE49-F238E27FC236}">
              <a16:creationId xmlns:a16="http://schemas.microsoft.com/office/drawing/2014/main" id="{C6B11D84-BA4F-44C0-9842-0332F0AD0C90}"/>
            </a:ext>
          </a:extLst>
        </xdr:cNvPr>
        <xdr:cNvSpPr txBox="1"/>
      </xdr:nvSpPr>
      <xdr:spPr>
        <a:xfrm>
          <a:off x="4753428" y="562428"/>
          <a:ext cx="2204357" cy="2449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98F94F4-57AB-44F3-9556-EEBE4B240BD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2024</a:t>
          </a:fld>
          <a:endParaRPr lang="es-CO" sz="1100"/>
        </a:p>
      </xdr:txBody>
    </xdr:sp>
    <xdr:clientData/>
  </xdr:twoCellAnchor>
  <xdr:twoCellAnchor>
    <xdr:from>
      <xdr:col>8</xdr:col>
      <xdr:colOff>671285</xdr:colOff>
      <xdr:row>6</xdr:row>
      <xdr:rowOff>18143</xdr:rowOff>
    </xdr:from>
    <xdr:to>
      <xdr:col>11</xdr:col>
      <xdr:colOff>181428</xdr:colOff>
      <xdr:row>7</xdr:row>
      <xdr:rowOff>81643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BBD92444-5B44-411F-9E77-9B5B8BC184A7}"/>
            </a:ext>
          </a:extLst>
        </xdr:cNvPr>
        <xdr:cNvSpPr txBox="1"/>
      </xdr:nvSpPr>
      <xdr:spPr>
        <a:xfrm>
          <a:off x="7266214" y="562429"/>
          <a:ext cx="1796143" cy="2449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l-GR" sz="1100" b="1" i="0" u="none" strike="noStrike">
              <a:solidFill>
                <a:srgbClr val="000000"/>
              </a:solidFill>
              <a:latin typeface="+mn-lt"/>
              <a:cs typeface="Calibri"/>
            </a:rPr>
            <a:t>Δ</a:t>
          </a:r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$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662213</xdr:colOff>
      <xdr:row>6</xdr:row>
      <xdr:rowOff>18142</xdr:rowOff>
    </xdr:from>
    <xdr:to>
      <xdr:col>14</xdr:col>
      <xdr:colOff>172356</xdr:colOff>
      <xdr:row>7</xdr:row>
      <xdr:rowOff>81642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928BB410-D7EC-48F7-B057-A361948D469C}"/>
            </a:ext>
          </a:extLst>
        </xdr:cNvPr>
        <xdr:cNvSpPr txBox="1"/>
      </xdr:nvSpPr>
      <xdr:spPr>
        <a:xfrm>
          <a:off x="9543142" y="562428"/>
          <a:ext cx="1796143" cy="2449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l-GR" sz="1100" b="1" i="0" u="none" strike="noStrike">
              <a:solidFill>
                <a:srgbClr val="000000"/>
              </a:solidFill>
              <a:latin typeface="+mn-lt"/>
              <a:cs typeface="Calibri"/>
            </a:rPr>
            <a:t>Δ</a:t>
          </a:r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%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90716</xdr:colOff>
      <xdr:row>6</xdr:row>
      <xdr:rowOff>27213</xdr:rowOff>
    </xdr:from>
    <xdr:to>
      <xdr:col>17</xdr:col>
      <xdr:colOff>362859</xdr:colOff>
      <xdr:row>7</xdr:row>
      <xdr:rowOff>90713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C846480-8FB7-423E-90AF-5352B59817D3}"/>
            </a:ext>
          </a:extLst>
        </xdr:cNvPr>
        <xdr:cNvSpPr txBox="1"/>
      </xdr:nvSpPr>
      <xdr:spPr>
        <a:xfrm>
          <a:off x="11756573" y="571499"/>
          <a:ext cx="1796143" cy="2449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vertical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162752</xdr:colOff>
      <xdr:row>28</xdr:row>
      <xdr:rowOff>98184</xdr:rowOff>
    </xdr:from>
    <xdr:to>
      <xdr:col>4</xdr:col>
      <xdr:colOff>268940</xdr:colOff>
      <xdr:row>40</xdr:row>
      <xdr:rowOff>125612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9" name="Gráfico 18">
              <a:extLst>
                <a:ext uri="{FF2B5EF4-FFF2-40B4-BE49-F238E27FC236}">
                  <a16:creationId xmlns:a16="http://schemas.microsoft.com/office/drawing/2014/main" id="{0D258906-539D-4357-A72A-9BCD840468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752" y="5292484"/>
              <a:ext cx="3649488" cy="2237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5</xdr:col>
      <xdr:colOff>175559</xdr:colOff>
      <xdr:row>28</xdr:row>
      <xdr:rowOff>52829</xdr:rowOff>
    </xdr:from>
    <xdr:to>
      <xdr:col>11</xdr:col>
      <xdr:colOff>440765</xdr:colOff>
      <xdr:row>40</xdr:row>
      <xdr:rowOff>80257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0" name="Gráfico 19">
              <a:extLst>
                <a:ext uri="{FF2B5EF4-FFF2-40B4-BE49-F238E27FC236}">
                  <a16:creationId xmlns:a16="http://schemas.microsoft.com/office/drawing/2014/main" id="{26E98BF2-1F58-46ED-8004-766A5ED731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0859" y="5247129"/>
              <a:ext cx="4837206" cy="2237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0</xdr:col>
      <xdr:colOff>463176</xdr:colOff>
      <xdr:row>40</xdr:row>
      <xdr:rowOff>104587</xdr:rowOff>
    </xdr:from>
    <xdr:to>
      <xdr:col>4</xdr:col>
      <xdr:colOff>366059</xdr:colOff>
      <xdr:row>50</xdr:row>
      <xdr:rowOff>67235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4AABBF90-241A-4B2C-8C28-6C0FF16FB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500530</xdr:colOff>
      <xdr:row>40</xdr:row>
      <xdr:rowOff>37353</xdr:rowOff>
    </xdr:from>
    <xdr:to>
      <xdr:col>11</xdr:col>
      <xdr:colOff>29882</xdr:colOff>
      <xdr:row>50</xdr:row>
      <xdr:rowOff>1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27373921-83D6-4123-9A8B-09F234B9A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717176</xdr:colOff>
      <xdr:row>25</xdr:row>
      <xdr:rowOff>179295</xdr:rowOff>
    </xdr:from>
    <xdr:to>
      <xdr:col>4</xdr:col>
      <xdr:colOff>97117</xdr:colOff>
      <xdr:row>27</xdr:row>
      <xdr:rowOff>22413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21857643-CE19-4E0E-8E94-677B1A774CA7}"/>
            </a:ext>
          </a:extLst>
        </xdr:cNvPr>
        <xdr:cNvSpPr txBox="1"/>
      </xdr:nvSpPr>
      <xdr:spPr>
        <a:xfrm>
          <a:off x="717176" y="4332942"/>
          <a:ext cx="2921000" cy="2166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Ingresos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brutos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6</xdr:col>
      <xdr:colOff>256989</xdr:colOff>
      <xdr:row>26</xdr:row>
      <xdr:rowOff>2989</xdr:rowOff>
    </xdr:from>
    <xdr:to>
      <xdr:col>10</xdr:col>
      <xdr:colOff>129989</xdr:colOff>
      <xdr:row>27</xdr:row>
      <xdr:rowOff>32872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89081D1-CBB3-432B-932F-D7999B0B4FF6}"/>
            </a:ext>
          </a:extLst>
        </xdr:cNvPr>
        <xdr:cNvSpPr txBox="1"/>
      </xdr:nvSpPr>
      <xdr:spPr>
        <a:xfrm>
          <a:off x="5322048" y="4343401"/>
          <a:ext cx="2921000" cy="2166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Otros ingresos operacionales</a:t>
          </a:r>
        </a:p>
      </xdr:txBody>
    </xdr:sp>
    <xdr:clientData/>
  </xdr:twoCellAnchor>
  <xdr:twoCellAnchor>
    <xdr:from>
      <xdr:col>11</xdr:col>
      <xdr:colOff>510987</xdr:colOff>
      <xdr:row>27</xdr:row>
      <xdr:rowOff>55285</xdr:rowOff>
    </xdr:from>
    <xdr:to>
      <xdr:col>18</xdr:col>
      <xdr:colOff>25400</xdr:colOff>
      <xdr:row>50</xdr:row>
      <xdr:rowOff>129990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FD6FB161-6683-4749-9F74-7E7E6742CD07}"/>
            </a:ext>
          </a:extLst>
        </xdr:cNvPr>
        <xdr:cNvSpPr/>
      </xdr:nvSpPr>
      <xdr:spPr>
        <a:xfrm>
          <a:off x="9386046" y="4582461"/>
          <a:ext cx="4310530" cy="4370294"/>
        </a:xfrm>
        <a:prstGeom prst="roundRect">
          <a:avLst/>
        </a:prstGeom>
        <a:solidFill>
          <a:srgbClr val="F2F2F2">
            <a:alpha val="5019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12</xdr:col>
      <xdr:colOff>439271</xdr:colOff>
      <xdr:row>26</xdr:row>
      <xdr:rowOff>5978</xdr:rowOff>
    </xdr:from>
    <xdr:to>
      <xdr:col>16</xdr:col>
      <xdr:colOff>573742</xdr:colOff>
      <xdr:row>27</xdr:row>
      <xdr:rowOff>35861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44222895-F2A8-46A0-9B5A-479CA1C5E692}"/>
            </a:ext>
          </a:extLst>
        </xdr:cNvPr>
        <xdr:cNvSpPr txBox="1"/>
      </xdr:nvSpPr>
      <xdr:spPr>
        <a:xfrm>
          <a:off x="10076330" y="4346390"/>
          <a:ext cx="2921000" cy="2166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Costo de ventas</a:t>
          </a:r>
        </a:p>
      </xdr:txBody>
    </xdr:sp>
    <xdr:clientData/>
  </xdr:twoCellAnchor>
  <xdr:twoCellAnchor>
    <xdr:from>
      <xdr:col>11</xdr:col>
      <xdr:colOff>567765</xdr:colOff>
      <xdr:row>28</xdr:row>
      <xdr:rowOff>63287</xdr:rowOff>
    </xdr:from>
    <xdr:to>
      <xdr:col>18</xdr:col>
      <xdr:colOff>112060</xdr:colOff>
      <xdr:row>40</xdr:row>
      <xdr:rowOff>90715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8" name="Gráfico 27">
              <a:extLst>
                <a:ext uri="{FF2B5EF4-FFF2-40B4-BE49-F238E27FC236}">
                  <a16:creationId xmlns:a16="http://schemas.microsoft.com/office/drawing/2014/main" id="{085C8917-A772-4C29-B086-7AF2AFE7CC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5065" y="5257587"/>
              <a:ext cx="4465545" cy="2237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11</xdr:col>
      <xdr:colOff>623046</xdr:colOff>
      <xdr:row>39</xdr:row>
      <xdr:rowOff>167350</xdr:rowOff>
    </xdr:from>
    <xdr:to>
      <xdr:col>17</xdr:col>
      <xdr:colOff>413869</xdr:colOff>
      <xdr:row>49</xdr:row>
      <xdr:rowOff>129998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4642F3FB-EC77-4A30-8CFD-EA30E624E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7471</xdr:colOff>
      <xdr:row>0</xdr:row>
      <xdr:rowOff>7471</xdr:rowOff>
    </xdr:from>
    <xdr:to>
      <xdr:col>19</xdr:col>
      <xdr:colOff>0</xdr:colOff>
      <xdr:row>1</xdr:row>
      <xdr:rowOff>119529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04F04975-7C7A-4EA7-BC12-CECCD2AA8FD8}"/>
            </a:ext>
          </a:extLst>
        </xdr:cNvPr>
        <xdr:cNvGrpSpPr/>
      </xdr:nvGrpSpPr>
      <xdr:grpSpPr>
        <a:xfrm>
          <a:off x="7471" y="7471"/>
          <a:ext cx="14552705" cy="298823"/>
          <a:chOff x="7471" y="7471"/>
          <a:chExt cx="14552705" cy="298823"/>
        </a:xfrm>
      </xdr:grpSpPr>
      <xdr:sp macro="" textlink="">
        <xdr:nvSpPr>
          <xdr:cNvPr id="5" name="Rectángulo 4">
            <a:extLst>
              <a:ext uri="{FF2B5EF4-FFF2-40B4-BE49-F238E27FC236}">
                <a16:creationId xmlns:a16="http://schemas.microsoft.com/office/drawing/2014/main" id="{6AB1A4A5-D69B-4C13-B295-D02383CF40F9}"/>
              </a:ext>
            </a:extLst>
          </xdr:cNvPr>
          <xdr:cNvSpPr/>
        </xdr:nvSpPr>
        <xdr:spPr>
          <a:xfrm>
            <a:off x="7471" y="7471"/>
            <a:ext cx="14552705" cy="298823"/>
          </a:xfrm>
          <a:prstGeom prst="rect">
            <a:avLst/>
          </a:prstGeom>
          <a:solidFill>
            <a:srgbClr val="1A0C3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DD072012-03B5-49FE-8618-D1AEAF5234E8}"/>
              </a:ext>
            </a:extLst>
          </xdr:cNvPr>
          <xdr:cNvSpPr txBox="1"/>
        </xdr:nvSpPr>
        <xdr:spPr>
          <a:xfrm>
            <a:off x="37352" y="14941"/>
            <a:ext cx="4564530" cy="2315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Análisis Financiero para construir narrativas</a:t>
            </a:r>
          </a:p>
        </xdr:txBody>
      </xdr:sp>
      <xdr:sp macro="" textlink="">
        <xdr:nvSpPr>
          <xdr:cNvPr id="34" name="CuadroTexto 33">
            <a:hlinkClick xmlns:r="http://schemas.openxmlformats.org/officeDocument/2006/relationships" r:id="rId11" tooltip="Dashboard-ESF"/>
            <a:extLst>
              <a:ext uri="{FF2B5EF4-FFF2-40B4-BE49-F238E27FC236}">
                <a16:creationId xmlns:a16="http://schemas.microsoft.com/office/drawing/2014/main" id="{F3E8E1E9-8A8D-4FA9-8BF2-1FC160D1F79D}"/>
              </a:ext>
            </a:extLst>
          </xdr:cNvPr>
          <xdr:cNvSpPr txBox="1"/>
        </xdr:nvSpPr>
        <xdr:spPr>
          <a:xfrm>
            <a:off x="12033623" y="10458"/>
            <a:ext cx="736600" cy="2241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ESF</a:t>
            </a:r>
          </a:p>
        </xdr:txBody>
      </xdr:sp>
      <xdr:grpSp>
        <xdr:nvGrpSpPr>
          <xdr:cNvPr id="9" name="Grupo 8">
            <a:hlinkClick xmlns:r="http://schemas.openxmlformats.org/officeDocument/2006/relationships" r:id="rId12" tooltip="Dashboard-EIR"/>
            <a:extLst>
              <a:ext uri="{FF2B5EF4-FFF2-40B4-BE49-F238E27FC236}">
                <a16:creationId xmlns:a16="http://schemas.microsoft.com/office/drawing/2014/main" id="{F3B7E1FA-E5F7-4576-BC09-EEF0B14DB339}"/>
              </a:ext>
            </a:extLst>
          </xdr:cNvPr>
          <xdr:cNvGrpSpPr/>
        </xdr:nvGrpSpPr>
        <xdr:grpSpPr>
          <a:xfrm>
            <a:off x="10947399" y="14940"/>
            <a:ext cx="736600" cy="269839"/>
            <a:chOff x="10947399" y="14940"/>
            <a:chExt cx="736600" cy="269839"/>
          </a:xfrm>
        </xdr:grpSpPr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1D282B17-58C6-497E-AFCA-F1D956BAC95B}"/>
                </a:ext>
              </a:extLst>
            </xdr:cNvPr>
            <xdr:cNvSpPr txBox="1"/>
          </xdr:nvSpPr>
          <xdr:spPr>
            <a:xfrm>
              <a:off x="10947399" y="14940"/>
              <a:ext cx="736600" cy="22411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CO" sz="12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EIR</a:t>
              </a:r>
            </a:p>
          </xdr:txBody>
        </xdr:sp>
        <xdr:sp macro="" textlink="">
          <xdr:nvSpPr>
            <xdr:cNvPr id="7" name="Rectángulo: esquinas redondeadas 6">
              <a:extLst>
                <a:ext uri="{FF2B5EF4-FFF2-40B4-BE49-F238E27FC236}">
                  <a16:creationId xmlns:a16="http://schemas.microsoft.com/office/drawing/2014/main" id="{CC2DF4EB-A686-474A-A626-D1DE6F130CFC}"/>
                </a:ext>
              </a:extLst>
            </xdr:cNvPr>
            <xdr:cNvSpPr/>
          </xdr:nvSpPr>
          <xdr:spPr>
            <a:xfrm>
              <a:off x="11183469" y="239060"/>
              <a:ext cx="254000" cy="45719"/>
            </a:xfrm>
            <a:prstGeom prst="roundRect">
              <a:avLst/>
            </a:prstGeom>
            <a:solidFill>
              <a:srgbClr val="5CEEE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</xdr:grpSp>
    <xdr:clientData/>
  </xdr:twoCellAnchor>
  <xdr:twoCellAnchor>
    <xdr:from>
      <xdr:col>5</xdr:col>
      <xdr:colOff>373531</xdr:colOff>
      <xdr:row>3</xdr:row>
      <xdr:rowOff>67232</xdr:rowOff>
    </xdr:from>
    <xdr:to>
      <xdr:col>7</xdr:col>
      <xdr:colOff>171826</xdr:colOff>
      <xdr:row>4</xdr:row>
      <xdr:rowOff>186762</xdr:rowOff>
    </xdr:to>
    <xdr:sp macro="" textlink="backend!AE12">
      <xdr:nvSpPr>
        <xdr:cNvPr id="8" name="Rectángulo 7">
          <a:extLst>
            <a:ext uri="{FF2B5EF4-FFF2-40B4-BE49-F238E27FC236}">
              <a16:creationId xmlns:a16="http://schemas.microsoft.com/office/drawing/2014/main" id="{5DB49122-AFDD-46D9-A3A9-F5C873195585}"/>
            </a:ext>
          </a:extLst>
        </xdr:cNvPr>
        <xdr:cNvSpPr/>
      </xdr:nvSpPr>
      <xdr:spPr>
        <a:xfrm>
          <a:off x="4676590" y="627526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759E8C1-A446-4B74-9DB2-34B28AA621C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46,0% (▲ +3,0 pp)</a:t>
          </a:fld>
          <a:endParaRPr lang="es-CO" sz="1100"/>
        </a:p>
      </xdr:txBody>
    </xdr:sp>
    <xdr:clientData/>
  </xdr:twoCellAnchor>
  <xdr:twoCellAnchor>
    <xdr:from>
      <xdr:col>5</xdr:col>
      <xdr:colOff>358591</xdr:colOff>
      <xdr:row>2</xdr:row>
      <xdr:rowOff>17073</xdr:rowOff>
    </xdr:from>
    <xdr:to>
      <xdr:col>7</xdr:col>
      <xdr:colOff>163288</xdr:colOff>
      <xdr:row>3</xdr:row>
      <xdr:rowOff>89645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36B0CD95-F1D2-46BC-BE16-283FFC773FF0}"/>
            </a:ext>
          </a:extLst>
        </xdr:cNvPr>
        <xdr:cNvSpPr txBox="1"/>
      </xdr:nvSpPr>
      <xdr:spPr>
        <a:xfrm>
          <a:off x="4661650" y="390602"/>
          <a:ext cx="1328697" cy="259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Margen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bruto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174812</xdr:colOff>
      <xdr:row>3</xdr:row>
      <xdr:rowOff>70220</xdr:rowOff>
    </xdr:from>
    <xdr:to>
      <xdr:col>11</xdr:col>
      <xdr:colOff>735107</xdr:colOff>
      <xdr:row>5</xdr:row>
      <xdr:rowOff>2985</xdr:rowOff>
    </xdr:to>
    <xdr:sp macro="" textlink="backend!AE18">
      <xdr:nvSpPr>
        <xdr:cNvPr id="40" name="Rectángulo 39">
          <a:extLst>
            <a:ext uri="{FF2B5EF4-FFF2-40B4-BE49-F238E27FC236}">
              <a16:creationId xmlns:a16="http://schemas.microsoft.com/office/drawing/2014/main" id="{5B34D165-5FA8-4657-963A-86B5876E8A0E}"/>
            </a:ext>
          </a:extLst>
        </xdr:cNvPr>
        <xdr:cNvSpPr/>
      </xdr:nvSpPr>
      <xdr:spPr>
        <a:xfrm>
          <a:off x="8287871" y="630514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27E63C1A-FDB5-402D-A5E6-394C3DB1F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11,3% (▲ +0,7 pp)</a:t>
          </a:fld>
          <a:endParaRPr lang="es-CO" sz="1100"/>
        </a:p>
      </xdr:txBody>
    </xdr:sp>
    <xdr:clientData/>
  </xdr:twoCellAnchor>
  <xdr:twoCellAnchor>
    <xdr:from>
      <xdr:col>10</xdr:col>
      <xdr:colOff>29884</xdr:colOff>
      <xdr:row>2</xdr:row>
      <xdr:rowOff>29883</xdr:rowOff>
    </xdr:from>
    <xdr:to>
      <xdr:col>12</xdr:col>
      <xdr:colOff>186766</xdr:colOff>
      <xdr:row>3</xdr:row>
      <xdr:rowOff>92633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723C68C1-49BE-4BA7-8D73-587C7E7E6120}"/>
            </a:ext>
          </a:extLst>
        </xdr:cNvPr>
        <xdr:cNvSpPr txBox="1"/>
      </xdr:nvSpPr>
      <xdr:spPr>
        <a:xfrm>
          <a:off x="8142943" y="403412"/>
          <a:ext cx="1680882" cy="249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Margen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operacional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439271</xdr:colOff>
      <xdr:row>3</xdr:row>
      <xdr:rowOff>73208</xdr:rowOff>
    </xdr:from>
    <xdr:to>
      <xdr:col>14</xdr:col>
      <xdr:colOff>237566</xdr:colOff>
      <xdr:row>5</xdr:row>
      <xdr:rowOff>5973</xdr:rowOff>
    </xdr:to>
    <xdr:sp macro="" textlink="backend!AE4">
      <xdr:nvSpPr>
        <xdr:cNvPr id="42" name="Rectángulo 41">
          <a:extLst>
            <a:ext uri="{FF2B5EF4-FFF2-40B4-BE49-F238E27FC236}">
              <a16:creationId xmlns:a16="http://schemas.microsoft.com/office/drawing/2014/main" id="{204F063F-264F-41D3-B39C-BAC0B1AD8FBE}"/>
            </a:ext>
          </a:extLst>
        </xdr:cNvPr>
        <xdr:cNvSpPr/>
      </xdr:nvSpPr>
      <xdr:spPr>
        <a:xfrm>
          <a:off x="10076330" y="633502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775AECB-3C32-4239-AFC3-F85186E4DA4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5,2% (▲ +1,2 pp)</a:t>
          </a:fld>
          <a:endParaRPr lang="es-CO" sz="1100"/>
        </a:p>
      </xdr:txBody>
    </xdr:sp>
    <xdr:clientData/>
  </xdr:twoCellAnchor>
  <xdr:twoCellAnchor>
    <xdr:from>
      <xdr:col>12</xdr:col>
      <xdr:colOff>424331</xdr:colOff>
      <xdr:row>2</xdr:row>
      <xdr:rowOff>23049</xdr:rowOff>
    </xdr:from>
    <xdr:to>
      <xdr:col>14</xdr:col>
      <xdr:colOff>229028</xdr:colOff>
      <xdr:row>3</xdr:row>
      <xdr:rowOff>95621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359AF160-417B-4AFB-A772-59631A3EA757}"/>
            </a:ext>
          </a:extLst>
        </xdr:cNvPr>
        <xdr:cNvSpPr txBox="1"/>
      </xdr:nvSpPr>
      <xdr:spPr>
        <a:xfrm>
          <a:off x="10061390" y="396578"/>
          <a:ext cx="1328697" cy="259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Margen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neto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225613</xdr:colOff>
      <xdr:row>3</xdr:row>
      <xdr:rowOff>68726</xdr:rowOff>
    </xdr:from>
    <xdr:to>
      <xdr:col>17</xdr:col>
      <xdr:colOff>23908</xdr:colOff>
      <xdr:row>5</xdr:row>
      <xdr:rowOff>1491</xdr:rowOff>
    </xdr:to>
    <xdr:sp macro="" textlink="backend!AE22">
      <xdr:nvSpPr>
        <xdr:cNvPr id="44" name="Rectángulo 43">
          <a:extLst>
            <a:ext uri="{FF2B5EF4-FFF2-40B4-BE49-F238E27FC236}">
              <a16:creationId xmlns:a16="http://schemas.microsoft.com/office/drawing/2014/main" id="{6448484F-DAED-4AD5-952B-A8C8B90B4158}"/>
            </a:ext>
          </a:extLst>
        </xdr:cNvPr>
        <xdr:cNvSpPr/>
      </xdr:nvSpPr>
      <xdr:spPr>
        <a:xfrm>
          <a:off x="11887201" y="629020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FC63282-A179-45DA-868D-9B70F034F2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4,3% (▼ -81,6 pp)</a:t>
          </a:fld>
          <a:endParaRPr lang="es-CO" sz="1100"/>
        </a:p>
      </xdr:txBody>
    </xdr:sp>
    <xdr:clientData/>
  </xdr:twoCellAnchor>
  <xdr:twoCellAnchor>
    <xdr:from>
      <xdr:col>15</xdr:col>
      <xdr:colOff>44825</xdr:colOff>
      <xdr:row>2</xdr:row>
      <xdr:rowOff>22411</xdr:rowOff>
    </xdr:from>
    <xdr:to>
      <xdr:col>17</xdr:col>
      <xdr:colOff>201708</xdr:colOff>
      <xdr:row>3</xdr:row>
      <xdr:rowOff>91139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298B6B9F-7D96-4835-B0E6-97A899EC11D6}"/>
            </a:ext>
          </a:extLst>
        </xdr:cNvPr>
        <xdr:cNvSpPr txBox="1"/>
      </xdr:nvSpPr>
      <xdr:spPr>
        <a:xfrm>
          <a:off x="11706413" y="395940"/>
          <a:ext cx="1680883" cy="255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Variación utilidad neta</a:t>
          </a:r>
        </a:p>
      </xdr:txBody>
    </xdr:sp>
    <xdr:clientData/>
  </xdr:twoCellAnchor>
  <xdr:twoCellAnchor>
    <xdr:from>
      <xdr:col>7</xdr:col>
      <xdr:colOff>646958</xdr:colOff>
      <xdr:row>3</xdr:row>
      <xdr:rowOff>64244</xdr:rowOff>
    </xdr:from>
    <xdr:to>
      <xdr:col>9</xdr:col>
      <xdr:colOff>445253</xdr:colOff>
      <xdr:row>4</xdr:row>
      <xdr:rowOff>183774</xdr:rowOff>
    </xdr:to>
    <xdr:sp macro="" textlink="backend!AE15">
      <xdr:nvSpPr>
        <xdr:cNvPr id="53" name="Rectángulo 52">
          <a:extLst>
            <a:ext uri="{FF2B5EF4-FFF2-40B4-BE49-F238E27FC236}">
              <a16:creationId xmlns:a16="http://schemas.microsoft.com/office/drawing/2014/main" id="{DA613555-FD69-4FC6-AEDF-4F240EE828B0}"/>
            </a:ext>
          </a:extLst>
        </xdr:cNvPr>
        <xdr:cNvSpPr/>
      </xdr:nvSpPr>
      <xdr:spPr>
        <a:xfrm>
          <a:off x="6474017" y="624538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B5DF2AD-84B9-4CE3-8E97-1B33404609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14,7% (▲ +0,6 pp)</a:t>
          </a:fld>
          <a:endParaRPr lang="es-CO" sz="1100"/>
        </a:p>
      </xdr:txBody>
    </xdr:sp>
    <xdr:clientData/>
  </xdr:twoCellAnchor>
  <xdr:twoCellAnchor>
    <xdr:from>
      <xdr:col>7</xdr:col>
      <xdr:colOff>632018</xdr:colOff>
      <xdr:row>2</xdr:row>
      <xdr:rowOff>14085</xdr:rowOff>
    </xdr:from>
    <xdr:to>
      <xdr:col>9</xdr:col>
      <xdr:colOff>436715</xdr:colOff>
      <xdr:row>3</xdr:row>
      <xdr:rowOff>86657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6BD69E9C-67A0-4951-B49C-337F0100DAE5}"/>
            </a:ext>
          </a:extLst>
        </xdr:cNvPr>
        <xdr:cNvSpPr txBox="1"/>
      </xdr:nvSpPr>
      <xdr:spPr>
        <a:xfrm>
          <a:off x="6459077" y="387614"/>
          <a:ext cx="1328697" cy="259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Margen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EBITDA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3</xdr:col>
      <xdr:colOff>77695</xdr:colOff>
      <xdr:row>3</xdr:row>
      <xdr:rowOff>70220</xdr:rowOff>
    </xdr:from>
    <xdr:to>
      <xdr:col>4</xdr:col>
      <xdr:colOff>637990</xdr:colOff>
      <xdr:row>5</xdr:row>
      <xdr:rowOff>2985</xdr:rowOff>
    </xdr:to>
    <xdr:sp macro="" textlink="backend!AE10">
      <xdr:nvSpPr>
        <xdr:cNvPr id="55" name="Rectángulo 54">
          <a:extLst>
            <a:ext uri="{FF2B5EF4-FFF2-40B4-BE49-F238E27FC236}">
              <a16:creationId xmlns:a16="http://schemas.microsoft.com/office/drawing/2014/main" id="{ACA682E7-2F73-4BD1-99FB-58DE8D09F642}"/>
            </a:ext>
          </a:extLst>
        </xdr:cNvPr>
        <xdr:cNvSpPr/>
      </xdr:nvSpPr>
      <xdr:spPr>
        <a:xfrm>
          <a:off x="2856754" y="630514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6CAF85B-80D1-4BEE-8B7A-64F6AE7BED9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-8,0% (▲ +10,0 pp)</a:t>
          </a:fld>
          <a:endParaRPr lang="es-CO" sz="1100"/>
        </a:p>
      </xdr:txBody>
    </xdr:sp>
    <xdr:clientData/>
  </xdr:twoCellAnchor>
  <xdr:twoCellAnchor>
    <xdr:from>
      <xdr:col>2</xdr:col>
      <xdr:colOff>664888</xdr:colOff>
      <xdr:row>2</xdr:row>
      <xdr:rowOff>14943</xdr:rowOff>
    </xdr:from>
    <xdr:to>
      <xdr:col>5</xdr:col>
      <xdr:colOff>39281</xdr:colOff>
      <xdr:row>3</xdr:row>
      <xdr:rowOff>92634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D82051A-ABDB-4575-87B8-A27BD7199D49}"/>
            </a:ext>
          </a:extLst>
        </xdr:cNvPr>
        <xdr:cNvSpPr txBox="1"/>
      </xdr:nvSpPr>
      <xdr:spPr>
        <a:xfrm>
          <a:off x="2681947" y="388472"/>
          <a:ext cx="1660393" cy="264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Variación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Ventas Netas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273423</xdr:colOff>
      <xdr:row>7</xdr:row>
      <xdr:rowOff>97116</xdr:rowOff>
    </xdr:from>
    <xdr:to>
      <xdr:col>15</xdr:col>
      <xdr:colOff>702235</xdr:colOff>
      <xdr:row>20</xdr:row>
      <xdr:rowOff>149412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3D5C404C-F25E-45CC-861A-28AFC33E1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70973" y="1386166"/>
              <a:ext cx="7286812" cy="24589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186764</xdr:colOff>
      <xdr:row>5</xdr:row>
      <xdr:rowOff>112059</xdr:rowOff>
    </xdr:from>
    <xdr:to>
      <xdr:col>5</xdr:col>
      <xdr:colOff>458907</xdr:colOff>
      <xdr:row>6</xdr:row>
      <xdr:rowOff>175560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E3E8875-B871-4454-8D1F-AF82E26A9BAD}"/>
            </a:ext>
          </a:extLst>
        </xdr:cNvPr>
        <xdr:cNvSpPr txBox="1"/>
      </xdr:nvSpPr>
      <xdr:spPr>
        <a:xfrm>
          <a:off x="4228352" y="1045883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vertical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92635</xdr:colOff>
      <xdr:row>5</xdr:row>
      <xdr:rowOff>115047</xdr:rowOff>
    </xdr:from>
    <xdr:to>
      <xdr:col>3</xdr:col>
      <xdr:colOff>6190</xdr:colOff>
      <xdr:row>6</xdr:row>
      <xdr:rowOff>178548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9685313C-0FCE-4C2D-8DB8-BA3CE8F77522}"/>
            </a:ext>
          </a:extLst>
        </xdr:cNvPr>
        <xdr:cNvSpPr txBox="1"/>
      </xdr:nvSpPr>
      <xdr:spPr>
        <a:xfrm>
          <a:off x="2610223" y="1048871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Valores reales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242045</xdr:colOff>
      <xdr:row>5</xdr:row>
      <xdr:rowOff>115048</xdr:rowOff>
    </xdr:from>
    <xdr:to>
      <xdr:col>12</xdr:col>
      <xdr:colOff>155600</xdr:colOff>
      <xdr:row>6</xdr:row>
      <xdr:rowOff>178549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19303E7D-9729-4A0A-80E0-21151DD6C0BB}"/>
            </a:ext>
          </a:extLst>
        </xdr:cNvPr>
        <xdr:cNvSpPr txBox="1"/>
      </xdr:nvSpPr>
      <xdr:spPr>
        <a:xfrm>
          <a:off x="9079751" y="1048872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horizontal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6</xdr:col>
      <xdr:colOff>276412</xdr:colOff>
      <xdr:row>26</xdr:row>
      <xdr:rowOff>44824</xdr:rowOff>
    </xdr:from>
    <xdr:to>
      <xdr:col>15</xdr:col>
      <xdr:colOff>705224</xdr:colOff>
      <xdr:row>38</xdr:row>
      <xdr:rowOff>119529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2" name="Gráfico 11">
              <a:extLst>
                <a:ext uri="{FF2B5EF4-FFF2-40B4-BE49-F238E27FC236}">
                  <a16:creationId xmlns:a16="http://schemas.microsoft.com/office/drawing/2014/main" id="{8D0277B1-40F9-495A-A132-9D68D47766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73962" y="4845424"/>
              <a:ext cx="7286812" cy="23035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6</xdr:col>
      <xdr:colOff>291354</xdr:colOff>
      <xdr:row>44</xdr:row>
      <xdr:rowOff>104592</xdr:rowOff>
    </xdr:from>
    <xdr:to>
      <xdr:col>15</xdr:col>
      <xdr:colOff>720166</xdr:colOff>
      <xdr:row>52</xdr:row>
      <xdr:rowOff>149414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870067B7-9015-4778-8FDF-817B05A3FE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8904" y="8238942"/>
              <a:ext cx="7286812" cy="1524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197222</xdr:colOff>
      <xdr:row>24</xdr:row>
      <xdr:rowOff>129989</xdr:rowOff>
    </xdr:from>
    <xdr:to>
      <xdr:col>5</xdr:col>
      <xdr:colOff>469365</xdr:colOff>
      <xdr:row>26</xdr:row>
      <xdr:rowOff>6725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5D29DEF-CD6C-42FC-9749-1C1193478DA6}"/>
            </a:ext>
          </a:extLst>
        </xdr:cNvPr>
        <xdr:cNvSpPr txBox="1"/>
      </xdr:nvSpPr>
      <xdr:spPr>
        <a:xfrm>
          <a:off x="4238810" y="4066989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vertical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103093</xdr:colOff>
      <xdr:row>24</xdr:row>
      <xdr:rowOff>132977</xdr:rowOff>
    </xdr:from>
    <xdr:to>
      <xdr:col>3</xdr:col>
      <xdr:colOff>16648</xdr:colOff>
      <xdr:row>26</xdr:row>
      <xdr:rowOff>9713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3D3872F-C966-4186-98AA-14A90AFA8B05}"/>
            </a:ext>
          </a:extLst>
        </xdr:cNvPr>
        <xdr:cNvSpPr txBox="1"/>
      </xdr:nvSpPr>
      <xdr:spPr>
        <a:xfrm>
          <a:off x="2620681" y="4069977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Valores reales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252503</xdr:colOff>
      <xdr:row>24</xdr:row>
      <xdr:rowOff>132978</xdr:rowOff>
    </xdr:from>
    <xdr:to>
      <xdr:col>12</xdr:col>
      <xdr:colOff>166058</xdr:colOff>
      <xdr:row>26</xdr:row>
      <xdr:rowOff>9714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EF6903C1-F528-4304-B15E-33227D63DDF1}"/>
            </a:ext>
          </a:extLst>
        </xdr:cNvPr>
        <xdr:cNvSpPr txBox="1"/>
      </xdr:nvSpPr>
      <xdr:spPr>
        <a:xfrm>
          <a:off x="9090209" y="4069978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horizontal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3</xdr:col>
      <xdr:colOff>200210</xdr:colOff>
      <xdr:row>42</xdr:row>
      <xdr:rowOff>103096</xdr:rowOff>
    </xdr:from>
    <xdr:to>
      <xdr:col>5</xdr:col>
      <xdr:colOff>472353</xdr:colOff>
      <xdr:row>43</xdr:row>
      <xdr:rowOff>166596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9DD49B9D-8C35-4AA5-A96A-231FE6EC714F}"/>
            </a:ext>
          </a:extLst>
        </xdr:cNvPr>
        <xdr:cNvSpPr txBox="1"/>
      </xdr:nvSpPr>
      <xdr:spPr>
        <a:xfrm>
          <a:off x="4241798" y="6863978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vertical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106081</xdr:colOff>
      <xdr:row>42</xdr:row>
      <xdr:rowOff>106084</xdr:rowOff>
    </xdr:from>
    <xdr:to>
      <xdr:col>3</xdr:col>
      <xdr:colOff>19636</xdr:colOff>
      <xdr:row>43</xdr:row>
      <xdr:rowOff>169584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A31D5F72-C705-44FC-9675-FA1C2A2C76AE}"/>
            </a:ext>
          </a:extLst>
        </xdr:cNvPr>
        <xdr:cNvSpPr txBox="1"/>
      </xdr:nvSpPr>
      <xdr:spPr>
        <a:xfrm>
          <a:off x="2623669" y="6866966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Valores reales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255491</xdr:colOff>
      <xdr:row>42</xdr:row>
      <xdr:rowOff>106085</xdr:rowOff>
    </xdr:from>
    <xdr:to>
      <xdr:col>12</xdr:col>
      <xdr:colOff>169046</xdr:colOff>
      <xdr:row>43</xdr:row>
      <xdr:rowOff>169585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CC52C6EE-56B6-422B-A1B7-7758EC08AB22}"/>
            </a:ext>
          </a:extLst>
        </xdr:cNvPr>
        <xdr:cNvSpPr txBox="1"/>
      </xdr:nvSpPr>
      <xdr:spPr>
        <a:xfrm>
          <a:off x="9093197" y="6866967"/>
          <a:ext cx="1437555" cy="250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rgbClr val="000000"/>
              </a:solidFill>
              <a:latin typeface="+mn-lt"/>
              <a:cs typeface="Calibri"/>
            </a:rPr>
            <a:t>Análisis horizontal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6</xdr:col>
      <xdr:colOff>82171</xdr:colOff>
      <xdr:row>3</xdr:row>
      <xdr:rowOff>60618</xdr:rowOff>
    </xdr:from>
    <xdr:to>
      <xdr:col>7</xdr:col>
      <xdr:colOff>739588</xdr:colOff>
      <xdr:row>4</xdr:row>
      <xdr:rowOff>180148</xdr:rowOff>
    </xdr:to>
    <xdr:sp macro="" textlink="backend!AE25">
      <xdr:nvSpPr>
        <xdr:cNvPr id="20" name="Rectángulo 19">
          <a:extLst>
            <a:ext uri="{FF2B5EF4-FFF2-40B4-BE49-F238E27FC236}">
              <a16:creationId xmlns:a16="http://schemas.microsoft.com/office/drawing/2014/main" id="{5524F5BF-3ED2-4AF8-9D0D-8665AD8C318D}"/>
            </a:ext>
          </a:extLst>
        </xdr:cNvPr>
        <xdr:cNvSpPr/>
      </xdr:nvSpPr>
      <xdr:spPr>
        <a:xfrm>
          <a:off x="5871877" y="620912"/>
          <a:ext cx="1419417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142A89FA-C02C-4AFD-9069-1C79BECE3D9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53 días (▲ +8 días)</a:t>
          </a:fld>
          <a:endParaRPr lang="es-CO" sz="1100"/>
        </a:p>
      </xdr:txBody>
    </xdr:sp>
    <xdr:clientData/>
  </xdr:twoCellAnchor>
  <xdr:twoCellAnchor>
    <xdr:from>
      <xdr:col>5</xdr:col>
      <xdr:colOff>567757</xdr:colOff>
      <xdr:row>2</xdr:row>
      <xdr:rowOff>14942</xdr:rowOff>
    </xdr:from>
    <xdr:to>
      <xdr:col>8</xdr:col>
      <xdr:colOff>37349</xdr:colOff>
      <xdr:row>3</xdr:row>
      <xdr:rowOff>83031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44629195-268B-474B-B33C-1D5FBB85A28B}"/>
            </a:ext>
          </a:extLst>
        </xdr:cNvPr>
        <xdr:cNvSpPr txBox="1"/>
      </xdr:nvSpPr>
      <xdr:spPr>
        <a:xfrm>
          <a:off x="5774757" y="388471"/>
          <a:ext cx="1576298" cy="254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Días de inventario</a:t>
          </a:r>
        </a:p>
      </xdr:txBody>
    </xdr:sp>
    <xdr:clientData/>
  </xdr:twoCellAnchor>
  <xdr:twoCellAnchor>
    <xdr:from>
      <xdr:col>10</xdr:col>
      <xdr:colOff>645452</xdr:colOff>
      <xdr:row>3</xdr:row>
      <xdr:rowOff>63606</xdr:rowOff>
    </xdr:from>
    <xdr:to>
      <xdr:col>12</xdr:col>
      <xdr:colOff>443747</xdr:colOff>
      <xdr:row>4</xdr:row>
      <xdr:rowOff>183136</xdr:rowOff>
    </xdr:to>
    <xdr:sp macro="" textlink="backend!AE28">
      <xdr:nvSpPr>
        <xdr:cNvPr id="22" name="Rectángulo 21">
          <a:extLst>
            <a:ext uri="{FF2B5EF4-FFF2-40B4-BE49-F238E27FC236}">
              <a16:creationId xmlns:a16="http://schemas.microsoft.com/office/drawing/2014/main" id="{B6CC8629-947D-45B6-BA29-84AF15A75F89}"/>
            </a:ext>
          </a:extLst>
        </xdr:cNvPr>
        <xdr:cNvSpPr/>
      </xdr:nvSpPr>
      <xdr:spPr>
        <a:xfrm>
          <a:off x="9483158" y="623900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9CFFB37-C6A4-442E-82E9-0AD2E4E91D2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47 días (▲ +11 días)</a:t>
          </a:fld>
          <a:endParaRPr lang="es-CO" sz="1100"/>
        </a:p>
      </xdr:txBody>
    </xdr:sp>
    <xdr:clientData/>
  </xdr:twoCellAnchor>
  <xdr:twoCellAnchor>
    <xdr:from>
      <xdr:col>10</xdr:col>
      <xdr:colOff>500524</xdr:colOff>
      <xdr:row>2</xdr:row>
      <xdr:rowOff>23269</xdr:rowOff>
    </xdr:from>
    <xdr:to>
      <xdr:col>12</xdr:col>
      <xdr:colOff>657406</xdr:colOff>
      <xdr:row>3</xdr:row>
      <xdr:rowOff>86019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E217BA5C-E5A3-4006-84A6-78DE39FC9748}"/>
            </a:ext>
          </a:extLst>
        </xdr:cNvPr>
        <xdr:cNvSpPr txBox="1"/>
      </xdr:nvSpPr>
      <xdr:spPr>
        <a:xfrm>
          <a:off x="9338230" y="396798"/>
          <a:ext cx="1680882" cy="249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CCE</a:t>
          </a:r>
        </a:p>
      </xdr:txBody>
    </xdr:sp>
    <xdr:clientData/>
  </xdr:twoCellAnchor>
  <xdr:twoCellAnchor>
    <xdr:from>
      <xdr:col>13</xdr:col>
      <xdr:colOff>147911</xdr:colOff>
      <xdr:row>3</xdr:row>
      <xdr:rowOff>66594</xdr:rowOff>
    </xdr:from>
    <xdr:to>
      <xdr:col>15</xdr:col>
      <xdr:colOff>649941</xdr:colOff>
      <xdr:row>4</xdr:row>
      <xdr:rowOff>186124</xdr:rowOff>
    </xdr:to>
    <xdr:sp macro="" textlink="backend!AE36">
      <xdr:nvSpPr>
        <xdr:cNvPr id="24" name="Rectángulo 23">
          <a:extLst>
            <a:ext uri="{FF2B5EF4-FFF2-40B4-BE49-F238E27FC236}">
              <a16:creationId xmlns:a16="http://schemas.microsoft.com/office/drawing/2014/main" id="{98832ED8-2E37-4A6D-B23D-5676BCB73A7A}"/>
            </a:ext>
          </a:extLst>
        </xdr:cNvPr>
        <xdr:cNvSpPr/>
      </xdr:nvSpPr>
      <xdr:spPr>
        <a:xfrm>
          <a:off x="11271617" y="626888"/>
          <a:ext cx="2026030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2EF43DA-85F1-49FF-811A-0FBA4FB8BF0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-$ 68,48 MM (▼ -$ 81,53 MM)</a:t>
          </a:fld>
          <a:endParaRPr lang="es-CO" sz="1100"/>
        </a:p>
      </xdr:txBody>
    </xdr:sp>
    <xdr:clientData/>
  </xdr:twoCellAnchor>
  <xdr:twoCellAnchor>
    <xdr:from>
      <xdr:col>13</xdr:col>
      <xdr:colOff>132971</xdr:colOff>
      <xdr:row>2</xdr:row>
      <xdr:rowOff>22412</xdr:rowOff>
    </xdr:from>
    <xdr:to>
      <xdr:col>15</xdr:col>
      <xdr:colOff>597647</xdr:colOff>
      <xdr:row>3</xdr:row>
      <xdr:rowOff>89007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D9503BC2-C1FB-4023-8A91-830C79033511}"/>
            </a:ext>
          </a:extLst>
        </xdr:cNvPr>
        <xdr:cNvSpPr txBox="1"/>
      </xdr:nvSpPr>
      <xdr:spPr>
        <a:xfrm>
          <a:off x="11256677" y="395941"/>
          <a:ext cx="1988676" cy="25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Capital de trabajo</a:t>
          </a:r>
        </a:p>
      </xdr:txBody>
    </xdr:sp>
    <xdr:clientData/>
  </xdr:twoCellAnchor>
  <xdr:twoCellAnchor>
    <xdr:from>
      <xdr:col>8</xdr:col>
      <xdr:colOff>351121</xdr:colOff>
      <xdr:row>3</xdr:row>
      <xdr:rowOff>57630</xdr:rowOff>
    </xdr:from>
    <xdr:to>
      <xdr:col>10</xdr:col>
      <xdr:colOff>236073</xdr:colOff>
      <xdr:row>4</xdr:row>
      <xdr:rowOff>177160</xdr:rowOff>
    </xdr:to>
    <xdr:sp macro="" textlink="backend!AE27">
      <xdr:nvSpPr>
        <xdr:cNvPr id="26" name="Rectángulo 25">
          <a:extLst>
            <a:ext uri="{FF2B5EF4-FFF2-40B4-BE49-F238E27FC236}">
              <a16:creationId xmlns:a16="http://schemas.microsoft.com/office/drawing/2014/main" id="{D106F957-3E98-46EB-A6BA-5F6B24F6546F}"/>
            </a:ext>
          </a:extLst>
        </xdr:cNvPr>
        <xdr:cNvSpPr/>
      </xdr:nvSpPr>
      <xdr:spPr>
        <a:xfrm>
          <a:off x="7664827" y="617924"/>
          <a:ext cx="1408952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AAA9AB0-5D1B-421E-8472-8B17D250C9C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36 días (▲ +6 días)</a:t>
          </a:fld>
          <a:endParaRPr lang="es-CO" sz="1100"/>
        </a:p>
      </xdr:txBody>
    </xdr:sp>
    <xdr:clientData/>
  </xdr:twoCellAnchor>
  <xdr:twoCellAnchor>
    <xdr:from>
      <xdr:col>8</xdr:col>
      <xdr:colOff>333188</xdr:colOff>
      <xdr:row>2</xdr:row>
      <xdr:rowOff>22412</xdr:rowOff>
    </xdr:from>
    <xdr:to>
      <xdr:col>10</xdr:col>
      <xdr:colOff>291353</xdr:colOff>
      <xdr:row>3</xdr:row>
      <xdr:rowOff>80043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40CBF3D-7C87-43F5-860C-34D916FB0C0A}"/>
            </a:ext>
          </a:extLst>
        </xdr:cNvPr>
        <xdr:cNvSpPr txBox="1"/>
      </xdr:nvSpPr>
      <xdr:spPr>
        <a:xfrm>
          <a:off x="7646894" y="395941"/>
          <a:ext cx="1482165" cy="2443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Días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de proveedores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3</xdr:col>
      <xdr:colOff>10453</xdr:colOff>
      <xdr:row>3</xdr:row>
      <xdr:rowOff>48664</xdr:rowOff>
    </xdr:from>
    <xdr:to>
      <xdr:col>5</xdr:col>
      <xdr:colOff>239059</xdr:colOff>
      <xdr:row>4</xdr:row>
      <xdr:rowOff>168194</xdr:rowOff>
    </xdr:to>
    <xdr:sp macro="" textlink="backend!AE24">
      <xdr:nvSpPr>
        <xdr:cNvPr id="28" name="Rectángulo 27">
          <a:extLst>
            <a:ext uri="{FF2B5EF4-FFF2-40B4-BE49-F238E27FC236}">
              <a16:creationId xmlns:a16="http://schemas.microsoft.com/office/drawing/2014/main" id="{3A203082-DA80-45AC-9CD3-B2D1D4233E31}"/>
            </a:ext>
          </a:extLst>
        </xdr:cNvPr>
        <xdr:cNvSpPr/>
      </xdr:nvSpPr>
      <xdr:spPr>
        <a:xfrm>
          <a:off x="4052041" y="608958"/>
          <a:ext cx="1394018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089FB9-6931-4FC6-A800-CE8AB6ED5DA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30 días (▲ +8 días)</a:t>
          </a:fld>
          <a:endParaRPr lang="es-CO" sz="1100"/>
        </a:p>
      </xdr:txBody>
    </xdr:sp>
    <xdr:clientData/>
  </xdr:twoCellAnchor>
  <xdr:twoCellAnchor>
    <xdr:from>
      <xdr:col>2</xdr:col>
      <xdr:colOff>627530</xdr:colOff>
      <xdr:row>1</xdr:row>
      <xdr:rowOff>180151</xdr:rowOff>
    </xdr:from>
    <xdr:to>
      <xdr:col>5</xdr:col>
      <xdr:colOff>360511</xdr:colOff>
      <xdr:row>3</xdr:row>
      <xdr:rowOff>71078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309E96BC-7451-42F5-BCD4-6AE09AE58135}"/>
            </a:ext>
          </a:extLst>
        </xdr:cNvPr>
        <xdr:cNvSpPr txBox="1"/>
      </xdr:nvSpPr>
      <xdr:spPr>
        <a:xfrm>
          <a:off x="3907118" y="366916"/>
          <a:ext cx="1660393" cy="264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Días de cartera</a:t>
          </a:r>
        </a:p>
      </xdr:txBody>
    </xdr:sp>
    <xdr:clientData/>
  </xdr:twoCellAnchor>
  <xdr:twoCellAnchor>
    <xdr:from>
      <xdr:col>4</xdr:col>
      <xdr:colOff>570744</xdr:colOff>
      <xdr:row>22</xdr:row>
      <xdr:rowOff>48665</xdr:rowOff>
    </xdr:from>
    <xdr:to>
      <xdr:col>7</xdr:col>
      <xdr:colOff>62749</xdr:colOff>
      <xdr:row>23</xdr:row>
      <xdr:rowOff>168196</xdr:rowOff>
    </xdr:to>
    <xdr:sp macro="" textlink="backend!AE34">
      <xdr:nvSpPr>
        <xdr:cNvPr id="30" name="Rectángulo 29">
          <a:extLst>
            <a:ext uri="{FF2B5EF4-FFF2-40B4-BE49-F238E27FC236}">
              <a16:creationId xmlns:a16="http://schemas.microsoft.com/office/drawing/2014/main" id="{B6CA5320-DC48-4217-ACDE-675D01B7614C}"/>
            </a:ext>
          </a:extLst>
        </xdr:cNvPr>
        <xdr:cNvSpPr/>
      </xdr:nvSpPr>
      <xdr:spPr>
        <a:xfrm>
          <a:off x="5195038" y="4172430"/>
          <a:ext cx="1419417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35814E3-5750-492A-8EB8-D84EC6B99D1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0,4 x (▼ -0,36 x)</a:t>
          </a:fld>
          <a:endParaRPr lang="es-CO" sz="1100"/>
        </a:p>
      </xdr:txBody>
    </xdr:sp>
    <xdr:clientData/>
  </xdr:twoCellAnchor>
  <xdr:twoCellAnchor>
    <xdr:from>
      <xdr:col>4</xdr:col>
      <xdr:colOff>473624</xdr:colOff>
      <xdr:row>21</xdr:row>
      <xdr:rowOff>2989</xdr:rowOff>
    </xdr:from>
    <xdr:to>
      <xdr:col>7</xdr:col>
      <xdr:colOff>122510</xdr:colOff>
      <xdr:row>22</xdr:row>
      <xdr:rowOff>71078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6A773334-EF83-49C4-BC05-2BC292C953FD}"/>
            </a:ext>
          </a:extLst>
        </xdr:cNvPr>
        <xdr:cNvSpPr txBox="1"/>
      </xdr:nvSpPr>
      <xdr:spPr>
        <a:xfrm>
          <a:off x="5097918" y="3939989"/>
          <a:ext cx="1576298" cy="254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Prueba ácida</a:t>
          </a:r>
        </a:p>
      </xdr:txBody>
    </xdr:sp>
    <xdr:clientData/>
  </xdr:twoCellAnchor>
  <xdr:twoCellAnchor>
    <xdr:from>
      <xdr:col>9</xdr:col>
      <xdr:colOff>730613</xdr:colOff>
      <xdr:row>22</xdr:row>
      <xdr:rowOff>51653</xdr:rowOff>
    </xdr:from>
    <xdr:to>
      <xdr:col>11</xdr:col>
      <xdr:colOff>528908</xdr:colOff>
      <xdr:row>23</xdr:row>
      <xdr:rowOff>171184</xdr:rowOff>
    </xdr:to>
    <xdr:sp macro="" textlink="backend!AE55">
      <xdr:nvSpPr>
        <xdr:cNvPr id="32" name="Rectángulo 31">
          <a:extLst>
            <a:ext uri="{FF2B5EF4-FFF2-40B4-BE49-F238E27FC236}">
              <a16:creationId xmlns:a16="http://schemas.microsoft.com/office/drawing/2014/main" id="{7168F39D-D861-4DF3-89A8-2F3C72632DE3}"/>
            </a:ext>
          </a:extLst>
        </xdr:cNvPr>
        <xdr:cNvSpPr/>
      </xdr:nvSpPr>
      <xdr:spPr>
        <a:xfrm>
          <a:off x="8806319" y="4175418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D8980CC-BC27-4CD9-90DA-F979659B76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84,8% (▲ +1,8 pp)</a:t>
          </a:fld>
          <a:endParaRPr lang="es-CO" sz="1100"/>
        </a:p>
      </xdr:txBody>
    </xdr:sp>
    <xdr:clientData/>
  </xdr:twoCellAnchor>
  <xdr:twoCellAnchor>
    <xdr:from>
      <xdr:col>9</xdr:col>
      <xdr:colOff>585685</xdr:colOff>
      <xdr:row>21</xdr:row>
      <xdr:rowOff>11316</xdr:rowOff>
    </xdr:from>
    <xdr:to>
      <xdr:col>11</xdr:col>
      <xdr:colOff>742567</xdr:colOff>
      <xdr:row>22</xdr:row>
      <xdr:rowOff>74066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79581908-07BD-4C12-9D8C-419E195ACDC6}"/>
            </a:ext>
          </a:extLst>
        </xdr:cNvPr>
        <xdr:cNvSpPr txBox="1"/>
      </xdr:nvSpPr>
      <xdr:spPr>
        <a:xfrm>
          <a:off x="8661391" y="3948316"/>
          <a:ext cx="1680882" cy="249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Nivel de endeudamiento</a:t>
          </a:r>
        </a:p>
      </xdr:txBody>
    </xdr:sp>
    <xdr:clientData/>
  </xdr:twoCellAnchor>
  <xdr:twoCellAnchor>
    <xdr:from>
      <xdr:col>14</xdr:col>
      <xdr:colOff>233079</xdr:colOff>
      <xdr:row>22</xdr:row>
      <xdr:rowOff>54641</xdr:rowOff>
    </xdr:from>
    <xdr:to>
      <xdr:col>16</xdr:col>
      <xdr:colOff>22415</xdr:colOff>
      <xdr:row>23</xdr:row>
      <xdr:rowOff>174172</xdr:rowOff>
    </xdr:to>
    <xdr:sp macro="" textlink="backend!AE54">
      <xdr:nvSpPr>
        <xdr:cNvPr id="34" name="Rectángulo 33">
          <a:extLst>
            <a:ext uri="{FF2B5EF4-FFF2-40B4-BE49-F238E27FC236}">
              <a16:creationId xmlns:a16="http://schemas.microsoft.com/office/drawing/2014/main" id="{FEB5A071-1201-434B-A705-72B0ADB37D96}"/>
            </a:ext>
          </a:extLst>
        </xdr:cNvPr>
        <xdr:cNvSpPr/>
      </xdr:nvSpPr>
      <xdr:spPr>
        <a:xfrm>
          <a:off x="12118785" y="4178406"/>
          <a:ext cx="1313336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6E56B80-8624-4F3B-A94B-4057B74A396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1,6 x (▼ -4,05 x)</a:t>
          </a:fld>
          <a:endParaRPr lang="es-CO" sz="1100"/>
        </a:p>
      </xdr:txBody>
    </xdr:sp>
    <xdr:clientData/>
  </xdr:twoCellAnchor>
  <xdr:twoCellAnchor>
    <xdr:from>
      <xdr:col>14</xdr:col>
      <xdr:colOff>61253</xdr:colOff>
      <xdr:row>20</xdr:row>
      <xdr:rowOff>34896</xdr:rowOff>
    </xdr:from>
    <xdr:to>
      <xdr:col>16</xdr:col>
      <xdr:colOff>194234</xdr:colOff>
      <xdr:row>22</xdr:row>
      <xdr:rowOff>131800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F472A574-2B70-493C-855B-332BDEA51D48}"/>
            </a:ext>
          </a:extLst>
        </xdr:cNvPr>
        <xdr:cNvSpPr txBox="1"/>
      </xdr:nvSpPr>
      <xdr:spPr>
        <a:xfrm>
          <a:off x="11946959" y="3785131"/>
          <a:ext cx="1656981" cy="4704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Cubrimiento servicio de la deuda</a:t>
          </a:r>
        </a:p>
      </xdr:txBody>
    </xdr:sp>
    <xdr:clientData/>
  </xdr:twoCellAnchor>
  <xdr:twoCellAnchor>
    <xdr:from>
      <xdr:col>7</xdr:col>
      <xdr:colOff>436282</xdr:colOff>
      <xdr:row>22</xdr:row>
      <xdr:rowOff>45677</xdr:rowOff>
    </xdr:from>
    <xdr:to>
      <xdr:col>9</xdr:col>
      <xdr:colOff>321234</xdr:colOff>
      <xdr:row>23</xdr:row>
      <xdr:rowOff>165208</xdr:rowOff>
    </xdr:to>
    <xdr:sp macro="" textlink="backend!AE56">
      <xdr:nvSpPr>
        <xdr:cNvPr id="36" name="Rectángulo 35">
          <a:extLst>
            <a:ext uri="{FF2B5EF4-FFF2-40B4-BE49-F238E27FC236}">
              <a16:creationId xmlns:a16="http://schemas.microsoft.com/office/drawing/2014/main" id="{92BE98E6-BD32-41DA-AF3E-CC47384F7A6E}"/>
            </a:ext>
          </a:extLst>
        </xdr:cNvPr>
        <xdr:cNvSpPr/>
      </xdr:nvSpPr>
      <xdr:spPr>
        <a:xfrm>
          <a:off x="6987988" y="4169442"/>
          <a:ext cx="1408952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1E660FBA-663D-43FB-A24B-CB8DF708683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64,9% (▲ +29,6 pp)</a:t>
          </a:fld>
          <a:endParaRPr lang="es-CO" sz="1100"/>
        </a:p>
      </xdr:txBody>
    </xdr:sp>
    <xdr:clientData/>
  </xdr:twoCellAnchor>
  <xdr:twoCellAnchor>
    <xdr:from>
      <xdr:col>7</xdr:col>
      <xdr:colOff>418349</xdr:colOff>
      <xdr:row>20</xdr:row>
      <xdr:rowOff>35704</xdr:rowOff>
    </xdr:from>
    <xdr:to>
      <xdr:col>9</xdr:col>
      <xdr:colOff>376514</xdr:colOff>
      <xdr:row>22</xdr:row>
      <xdr:rowOff>95138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27AD03A3-46A1-4E7E-952F-342BC928DE44}"/>
            </a:ext>
          </a:extLst>
        </xdr:cNvPr>
        <xdr:cNvSpPr txBox="1"/>
      </xdr:nvSpPr>
      <xdr:spPr>
        <a:xfrm>
          <a:off x="6970055" y="3785939"/>
          <a:ext cx="1482165" cy="4329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Concentración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endeudamiento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95614</xdr:colOff>
      <xdr:row>22</xdr:row>
      <xdr:rowOff>36711</xdr:rowOff>
    </xdr:from>
    <xdr:to>
      <xdr:col>4</xdr:col>
      <xdr:colOff>144926</xdr:colOff>
      <xdr:row>23</xdr:row>
      <xdr:rowOff>156242</xdr:rowOff>
    </xdr:to>
    <xdr:sp macro="" textlink="backend!AE33">
      <xdr:nvSpPr>
        <xdr:cNvPr id="38" name="Rectángulo 37">
          <a:extLst>
            <a:ext uri="{FF2B5EF4-FFF2-40B4-BE49-F238E27FC236}">
              <a16:creationId xmlns:a16="http://schemas.microsoft.com/office/drawing/2014/main" id="{96CC1142-5541-425E-82D8-E041711963CF}"/>
            </a:ext>
          </a:extLst>
        </xdr:cNvPr>
        <xdr:cNvSpPr/>
      </xdr:nvSpPr>
      <xdr:spPr>
        <a:xfrm>
          <a:off x="3375202" y="4160476"/>
          <a:ext cx="1394018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10200A6D-3CF8-46D6-8B5B-B409026EC79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 x (▼ -0,51 x)</a:t>
          </a:fld>
          <a:endParaRPr lang="es-CO" sz="1100"/>
        </a:p>
      </xdr:txBody>
    </xdr:sp>
    <xdr:clientData/>
  </xdr:twoCellAnchor>
  <xdr:twoCellAnchor>
    <xdr:from>
      <xdr:col>1</xdr:col>
      <xdr:colOff>712691</xdr:colOff>
      <xdr:row>20</xdr:row>
      <xdr:rowOff>168199</xdr:rowOff>
    </xdr:from>
    <xdr:to>
      <xdr:col>4</xdr:col>
      <xdr:colOff>266378</xdr:colOff>
      <xdr:row>22</xdr:row>
      <xdr:rowOff>59125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3EBF923F-76A6-4F2B-B651-E613077F22FF}"/>
            </a:ext>
          </a:extLst>
        </xdr:cNvPr>
        <xdr:cNvSpPr txBox="1"/>
      </xdr:nvSpPr>
      <xdr:spPr>
        <a:xfrm>
          <a:off x="3230279" y="3918434"/>
          <a:ext cx="1660393" cy="264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Razón corriente</a:t>
          </a:r>
        </a:p>
      </xdr:txBody>
    </xdr:sp>
    <xdr:clientData/>
  </xdr:twoCellAnchor>
  <xdr:twoCellAnchor>
    <xdr:from>
      <xdr:col>6</xdr:col>
      <xdr:colOff>80678</xdr:colOff>
      <xdr:row>40</xdr:row>
      <xdr:rowOff>81536</xdr:rowOff>
    </xdr:from>
    <xdr:to>
      <xdr:col>7</xdr:col>
      <xdr:colOff>738095</xdr:colOff>
      <xdr:row>42</xdr:row>
      <xdr:rowOff>14301</xdr:rowOff>
    </xdr:to>
    <xdr:sp macro="" textlink="backend!AE4">
      <xdr:nvSpPr>
        <xdr:cNvPr id="40" name="Rectángulo 39">
          <a:extLst>
            <a:ext uri="{FF2B5EF4-FFF2-40B4-BE49-F238E27FC236}">
              <a16:creationId xmlns:a16="http://schemas.microsoft.com/office/drawing/2014/main" id="{932FF67E-90D2-4013-B1CB-E4AFBCF09E44}"/>
            </a:ext>
          </a:extLst>
        </xdr:cNvPr>
        <xdr:cNvSpPr/>
      </xdr:nvSpPr>
      <xdr:spPr>
        <a:xfrm>
          <a:off x="5870384" y="7589477"/>
          <a:ext cx="1419417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3D33236-6235-4266-8736-B1BFCC744D5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5,2% (▲ +1,2 pp)</a:t>
          </a:fld>
          <a:endParaRPr lang="es-CO" sz="1100"/>
        </a:p>
      </xdr:txBody>
    </xdr:sp>
    <xdr:clientData/>
  </xdr:twoCellAnchor>
  <xdr:twoCellAnchor>
    <xdr:from>
      <xdr:col>5</xdr:col>
      <xdr:colOff>566264</xdr:colOff>
      <xdr:row>39</xdr:row>
      <xdr:rowOff>35860</xdr:rowOff>
    </xdr:from>
    <xdr:to>
      <xdr:col>8</xdr:col>
      <xdr:colOff>35856</xdr:colOff>
      <xdr:row>40</xdr:row>
      <xdr:rowOff>103949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7186DF7-5A04-47B9-A321-6085B478CAED}"/>
            </a:ext>
          </a:extLst>
        </xdr:cNvPr>
        <xdr:cNvSpPr txBox="1"/>
      </xdr:nvSpPr>
      <xdr:spPr>
        <a:xfrm>
          <a:off x="5773264" y="7357036"/>
          <a:ext cx="1576298" cy="254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ROS</a:t>
          </a:r>
        </a:p>
      </xdr:txBody>
    </xdr:sp>
    <xdr:clientData/>
  </xdr:twoCellAnchor>
  <xdr:twoCellAnchor>
    <xdr:from>
      <xdr:col>10</xdr:col>
      <xdr:colOff>643959</xdr:colOff>
      <xdr:row>40</xdr:row>
      <xdr:rowOff>84524</xdr:rowOff>
    </xdr:from>
    <xdr:to>
      <xdr:col>12</xdr:col>
      <xdr:colOff>442254</xdr:colOff>
      <xdr:row>42</xdr:row>
      <xdr:rowOff>17289</xdr:rowOff>
    </xdr:to>
    <xdr:sp macro="" textlink="backend!AE7">
      <xdr:nvSpPr>
        <xdr:cNvPr id="42" name="Rectángulo 41">
          <a:extLst>
            <a:ext uri="{FF2B5EF4-FFF2-40B4-BE49-F238E27FC236}">
              <a16:creationId xmlns:a16="http://schemas.microsoft.com/office/drawing/2014/main" id="{36342D76-37AC-4AFC-8F19-3A0EB7FF851B}"/>
            </a:ext>
          </a:extLst>
        </xdr:cNvPr>
        <xdr:cNvSpPr/>
      </xdr:nvSpPr>
      <xdr:spPr>
        <a:xfrm>
          <a:off x="9481665" y="7592465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262F3E8-8135-454F-BFA8-10215E3322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6,6 x (▲ +0,69 x)</a:t>
          </a:fld>
          <a:endParaRPr lang="es-CO" sz="1100"/>
        </a:p>
      </xdr:txBody>
    </xdr:sp>
    <xdr:clientData/>
  </xdr:twoCellAnchor>
  <xdr:twoCellAnchor>
    <xdr:from>
      <xdr:col>10</xdr:col>
      <xdr:colOff>499031</xdr:colOff>
      <xdr:row>38</xdr:row>
      <xdr:rowOff>67764</xdr:rowOff>
    </xdr:from>
    <xdr:to>
      <xdr:col>12</xdr:col>
      <xdr:colOff>655913</xdr:colOff>
      <xdr:row>40</xdr:row>
      <xdr:rowOff>180471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C6AC751D-030F-408B-A220-CF3C3D78D712}"/>
            </a:ext>
          </a:extLst>
        </xdr:cNvPr>
        <xdr:cNvSpPr txBox="1"/>
      </xdr:nvSpPr>
      <xdr:spPr>
        <a:xfrm>
          <a:off x="9336737" y="7202176"/>
          <a:ext cx="1680882" cy="486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Apalancamiento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Financiero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349628</xdr:colOff>
      <xdr:row>40</xdr:row>
      <xdr:rowOff>78548</xdr:rowOff>
    </xdr:from>
    <xdr:to>
      <xdr:col>10</xdr:col>
      <xdr:colOff>234580</xdr:colOff>
      <xdr:row>42</xdr:row>
      <xdr:rowOff>11313</xdr:rowOff>
    </xdr:to>
    <xdr:sp macro="" textlink="backend!AE5">
      <xdr:nvSpPr>
        <xdr:cNvPr id="46" name="Rectángulo 45">
          <a:extLst>
            <a:ext uri="{FF2B5EF4-FFF2-40B4-BE49-F238E27FC236}">
              <a16:creationId xmlns:a16="http://schemas.microsoft.com/office/drawing/2014/main" id="{40AEE809-4715-482B-87E5-DDB63F4390AD}"/>
            </a:ext>
          </a:extLst>
        </xdr:cNvPr>
        <xdr:cNvSpPr/>
      </xdr:nvSpPr>
      <xdr:spPr>
        <a:xfrm>
          <a:off x="7663334" y="7586489"/>
          <a:ext cx="1408952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9A81D01-AE93-4155-A144-72CD3CF8FFF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1,7 x (▲ +0,06 x)</a:t>
          </a:fld>
          <a:endParaRPr lang="es-CO" sz="1100"/>
        </a:p>
      </xdr:txBody>
    </xdr:sp>
    <xdr:clientData/>
  </xdr:twoCellAnchor>
  <xdr:twoCellAnchor>
    <xdr:from>
      <xdr:col>8</xdr:col>
      <xdr:colOff>331695</xdr:colOff>
      <xdr:row>39</xdr:row>
      <xdr:rowOff>46971</xdr:rowOff>
    </xdr:from>
    <xdr:to>
      <xdr:col>10</xdr:col>
      <xdr:colOff>289860</xdr:colOff>
      <xdr:row>40</xdr:row>
      <xdr:rowOff>82385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CAC06D9D-CA86-46FA-BC0C-B67024067BA6}"/>
            </a:ext>
          </a:extLst>
        </xdr:cNvPr>
        <xdr:cNvSpPr txBox="1"/>
      </xdr:nvSpPr>
      <xdr:spPr>
        <a:xfrm>
          <a:off x="7645401" y="7368147"/>
          <a:ext cx="1482165" cy="222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RAT</a:t>
          </a:r>
        </a:p>
      </xdr:txBody>
    </xdr:sp>
    <xdr:clientData/>
  </xdr:twoCellAnchor>
  <xdr:twoCellAnchor>
    <xdr:from>
      <xdr:col>3</xdr:col>
      <xdr:colOff>8960</xdr:colOff>
      <xdr:row>40</xdr:row>
      <xdr:rowOff>69582</xdr:rowOff>
    </xdr:from>
    <xdr:to>
      <xdr:col>5</xdr:col>
      <xdr:colOff>237566</xdr:colOff>
      <xdr:row>42</xdr:row>
      <xdr:rowOff>2347</xdr:rowOff>
    </xdr:to>
    <xdr:sp macro="" textlink="backend!AE8">
      <xdr:nvSpPr>
        <xdr:cNvPr id="48" name="Rectángulo 47">
          <a:extLst>
            <a:ext uri="{FF2B5EF4-FFF2-40B4-BE49-F238E27FC236}">
              <a16:creationId xmlns:a16="http://schemas.microsoft.com/office/drawing/2014/main" id="{2939C3AC-94F5-4020-AF50-D9D64EFBC68A}"/>
            </a:ext>
          </a:extLst>
        </xdr:cNvPr>
        <xdr:cNvSpPr/>
      </xdr:nvSpPr>
      <xdr:spPr>
        <a:xfrm>
          <a:off x="4050548" y="7577523"/>
          <a:ext cx="1394018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A136806-1695-448D-B3A4-C9309303CDA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56,6% (▲ +19,5 pp)</a:t>
          </a:fld>
          <a:endParaRPr lang="es-CO" sz="1100"/>
        </a:p>
      </xdr:txBody>
    </xdr:sp>
    <xdr:clientData/>
  </xdr:twoCellAnchor>
  <xdr:twoCellAnchor>
    <xdr:from>
      <xdr:col>2</xdr:col>
      <xdr:colOff>626037</xdr:colOff>
      <xdr:row>39</xdr:row>
      <xdr:rowOff>14305</xdr:rowOff>
    </xdr:from>
    <xdr:to>
      <xdr:col>5</xdr:col>
      <xdr:colOff>359018</xdr:colOff>
      <xdr:row>40</xdr:row>
      <xdr:rowOff>91996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BC6000B0-898F-4A75-BADB-F4DE9D8A386A}"/>
            </a:ext>
          </a:extLst>
        </xdr:cNvPr>
        <xdr:cNvSpPr txBox="1"/>
      </xdr:nvSpPr>
      <xdr:spPr>
        <a:xfrm>
          <a:off x="3905625" y="7335481"/>
          <a:ext cx="1660393" cy="264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ROE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380999</xdr:colOff>
      <xdr:row>1</xdr:row>
      <xdr:rowOff>112058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6A9A4CBC-75A1-4793-B50A-FF415E99DCCC}"/>
            </a:ext>
          </a:extLst>
        </xdr:cNvPr>
        <xdr:cNvSpPr/>
      </xdr:nvSpPr>
      <xdr:spPr>
        <a:xfrm>
          <a:off x="0" y="0"/>
          <a:ext cx="14552705" cy="298823"/>
        </a:xfrm>
        <a:prstGeom prst="rect">
          <a:avLst/>
        </a:prstGeom>
        <a:solidFill>
          <a:srgbClr val="1A0C3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29881</xdr:colOff>
      <xdr:row>0</xdr:row>
      <xdr:rowOff>7470</xdr:rowOff>
    </xdr:from>
    <xdr:to>
      <xdr:col>3</xdr:col>
      <xdr:colOff>552823</xdr:colOff>
      <xdr:row>1</xdr:row>
      <xdr:rowOff>52293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A90649D5-3201-4A6C-BBF0-76932E9CDB09}"/>
            </a:ext>
          </a:extLst>
        </xdr:cNvPr>
        <xdr:cNvSpPr txBox="1"/>
      </xdr:nvSpPr>
      <xdr:spPr>
        <a:xfrm>
          <a:off x="29881" y="7470"/>
          <a:ext cx="4564530" cy="231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Análisis Financiero para construir narrativas</a:t>
          </a:r>
        </a:p>
      </xdr:txBody>
    </xdr:sp>
    <xdr:clientData/>
  </xdr:twoCellAnchor>
  <xdr:twoCellAnchor>
    <xdr:from>
      <xdr:col>12</xdr:col>
      <xdr:colOff>578222</xdr:colOff>
      <xdr:row>0</xdr:row>
      <xdr:rowOff>7469</xdr:rowOff>
    </xdr:from>
    <xdr:to>
      <xdr:col>13</xdr:col>
      <xdr:colOff>552822</xdr:colOff>
      <xdr:row>1</xdr:row>
      <xdr:rowOff>44822</xdr:rowOff>
    </xdr:to>
    <xdr:sp macro="" textlink="">
      <xdr:nvSpPr>
        <xdr:cNvPr id="55" name="CuadroTexto 54">
          <a:hlinkClick xmlns:r="http://schemas.openxmlformats.org/officeDocument/2006/relationships" r:id="rId4" tooltip="Dashboard-EIR"/>
          <a:extLst>
            <a:ext uri="{FF2B5EF4-FFF2-40B4-BE49-F238E27FC236}">
              <a16:creationId xmlns:a16="http://schemas.microsoft.com/office/drawing/2014/main" id="{3F220EB3-E10C-4CA6-BF47-88A532A996A2}"/>
            </a:ext>
          </a:extLst>
        </xdr:cNvPr>
        <xdr:cNvSpPr txBox="1"/>
      </xdr:nvSpPr>
      <xdr:spPr>
        <a:xfrm>
          <a:off x="10939928" y="7469"/>
          <a:ext cx="736600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EIR</a:t>
          </a:r>
        </a:p>
      </xdr:txBody>
    </xdr:sp>
    <xdr:clientData/>
  </xdr:twoCellAnchor>
  <xdr:twoCellAnchor>
    <xdr:from>
      <xdr:col>14</xdr:col>
      <xdr:colOff>140446</xdr:colOff>
      <xdr:row>0</xdr:row>
      <xdr:rowOff>2987</xdr:rowOff>
    </xdr:from>
    <xdr:to>
      <xdr:col>15</xdr:col>
      <xdr:colOff>115046</xdr:colOff>
      <xdr:row>1</xdr:row>
      <xdr:rowOff>90543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2575C472-CF3B-4E90-A6F0-9EF65BD4E30A}"/>
            </a:ext>
          </a:extLst>
        </xdr:cNvPr>
        <xdr:cNvGrpSpPr/>
      </xdr:nvGrpSpPr>
      <xdr:grpSpPr>
        <a:xfrm>
          <a:off x="12026152" y="2987"/>
          <a:ext cx="736600" cy="274321"/>
          <a:chOff x="12026152" y="2987"/>
          <a:chExt cx="736600" cy="274321"/>
        </a:xfrm>
      </xdr:grpSpPr>
      <xdr:sp macro="" textlink="">
        <xdr:nvSpPr>
          <xdr:cNvPr id="53" name="CuadroTexto 52">
            <a:extLst>
              <a:ext uri="{FF2B5EF4-FFF2-40B4-BE49-F238E27FC236}">
                <a16:creationId xmlns:a16="http://schemas.microsoft.com/office/drawing/2014/main" id="{5BF0E4A3-A272-4A1B-A98E-BD912B4A5F62}"/>
              </a:ext>
            </a:extLst>
          </xdr:cNvPr>
          <xdr:cNvSpPr txBox="1"/>
        </xdr:nvSpPr>
        <xdr:spPr>
          <a:xfrm>
            <a:off x="12026152" y="2987"/>
            <a:ext cx="736600" cy="2241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ESF</a:t>
            </a:r>
          </a:p>
        </xdr:txBody>
      </xdr:sp>
      <xdr:sp macro="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A49A632B-4DE2-4157-B125-4BBE576D457D}"/>
              </a:ext>
            </a:extLst>
          </xdr:cNvPr>
          <xdr:cNvSpPr/>
        </xdr:nvSpPr>
        <xdr:spPr>
          <a:xfrm>
            <a:off x="12274179" y="231589"/>
            <a:ext cx="254000" cy="45719"/>
          </a:xfrm>
          <a:prstGeom prst="roundRect">
            <a:avLst/>
          </a:prstGeom>
          <a:solidFill>
            <a:srgbClr val="5CEEE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>
    <xdr:from>
      <xdr:col>12</xdr:col>
      <xdr:colOff>150896</xdr:colOff>
      <xdr:row>22</xdr:row>
      <xdr:rowOff>54641</xdr:rowOff>
    </xdr:from>
    <xdr:to>
      <xdr:col>13</xdr:col>
      <xdr:colOff>711191</xdr:colOff>
      <xdr:row>23</xdr:row>
      <xdr:rowOff>174172</xdr:rowOff>
    </xdr:to>
    <xdr:sp macro="" textlink="backend!AE53">
      <xdr:nvSpPr>
        <xdr:cNvPr id="58" name="Rectángulo 57">
          <a:extLst>
            <a:ext uri="{FF2B5EF4-FFF2-40B4-BE49-F238E27FC236}">
              <a16:creationId xmlns:a16="http://schemas.microsoft.com/office/drawing/2014/main" id="{FCDCA29B-C929-4C3E-A79B-760B5C3FB555}"/>
            </a:ext>
          </a:extLst>
        </xdr:cNvPr>
        <xdr:cNvSpPr/>
      </xdr:nvSpPr>
      <xdr:spPr>
        <a:xfrm>
          <a:off x="10512602" y="4178406"/>
          <a:ext cx="1322295" cy="306295"/>
        </a:xfrm>
        <a:prstGeom prst="rect">
          <a:avLst/>
        </a:prstGeom>
        <a:solidFill>
          <a:srgbClr val="5C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25B0A1-7BCA-43CE-903F-A1DD3AA615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5,9 x (▲ +0,35 x)</a:t>
          </a:fld>
          <a:endParaRPr lang="es-CO" sz="1100"/>
        </a:p>
      </xdr:txBody>
    </xdr:sp>
    <xdr:clientData/>
  </xdr:twoCellAnchor>
  <xdr:twoCellAnchor>
    <xdr:from>
      <xdr:col>12</xdr:col>
      <xdr:colOff>5968</xdr:colOff>
      <xdr:row>21</xdr:row>
      <xdr:rowOff>14304</xdr:rowOff>
    </xdr:from>
    <xdr:to>
      <xdr:col>14</xdr:col>
      <xdr:colOff>162850</xdr:colOff>
      <xdr:row>22</xdr:row>
      <xdr:rowOff>77054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CDB46A07-3B4F-4E0C-8C23-21D63868EAEE}"/>
            </a:ext>
          </a:extLst>
        </xdr:cNvPr>
        <xdr:cNvSpPr txBox="1"/>
      </xdr:nvSpPr>
      <xdr:spPr>
        <a:xfrm>
          <a:off x="10367674" y="3951304"/>
          <a:ext cx="1680882" cy="249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Cobertura</a:t>
          </a: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de intereses</a:t>
          </a:r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1496</xdr:rowOff>
    </xdr:from>
    <xdr:to>
      <xdr:col>19</xdr:col>
      <xdr:colOff>74705</xdr:colOff>
      <xdr:row>1</xdr:row>
      <xdr:rowOff>113554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F330CF4-8A65-463A-AE62-072F71ADE678}"/>
            </a:ext>
          </a:extLst>
        </xdr:cNvPr>
        <xdr:cNvSpPr/>
      </xdr:nvSpPr>
      <xdr:spPr>
        <a:xfrm>
          <a:off x="0" y="1496"/>
          <a:ext cx="14552705" cy="298823"/>
        </a:xfrm>
        <a:prstGeom prst="rect">
          <a:avLst/>
        </a:prstGeom>
        <a:solidFill>
          <a:srgbClr val="1A0C3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29881</xdr:colOff>
      <xdr:row>0</xdr:row>
      <xdr:rowOff>8966</xdr:rowOff>
    </xdr:from>
    <xdr:to>
      <xdr:col>6</xdr:col>
      <xdr:colOff>22411</xdr:colOff>
      <xdr:row>1</xdr:row>
      <xdr:rowOff>53789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34C185E0-EC41-4170-81D6-94F5127DBC57}"/>
            </a:ext>
          </a:extLst>
        </xdr:cNvPr>
        <xdr:cNvSpPr txBox="1"/>
      </xdr:nvSpPr>
      <xdr:spPr>
        <a:xfrm>
          <a:off x="29881" y="8966"/>
          <a:ext cx="4564530" cy="231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Análisis Financiero para construir narrativas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talina%20Naranjo/Downloads/00-Modelo%20AF-Profesor-Modific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Data"/>
      <sheetName val="Resumen Ejecutivo"/>
      <sheetName val="Flujo de Caja"/>
      <sheetName val="EIR"/>
      <sheetName val="ESF"/>
      <sheetName val="EIR Comparativo"/>
      <sheetName val="ESF Comparativo"/>
      <sheetName val="Gráficas"/>
      <sheetName val="Lingo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94">
          <cell r="B94" t="str">
            <v>en COP a 31 de diciembre</v>
          </cell>
          <cell r="C94" t="str">
            <v>in COP as of December 31st</v>
          </cell>
        </row>
        <row r="95">
          <cell r="B95" t="str">
            <v>en COP miles a 31 de diciembre</v>
          </cell>
          <cell r="C95" t="str">
            <v>in COP Thousands as of December 31st</v>
          </cell>
        </row>
        <row r="96">
          <cell r="B96" t="str">
            <v>en COP millones a 31 de diciembre</v>
          </cell>
          <cell r="C96" t="str">
            <v>in COP Millions as of December 31st</v>
          </cell>
        </row>
        <row r="97">
          <cell r="B97" t="str">
            <v>en USD a 31 de diciembre</v>
          </cell>
          <cell r="C97" t="str">
            <v>in USD as of December 31st</v>
          </cell>
        </row>
        <row r="98">
          <cell r="B98" t="str">
            <v>en USD miles a 31 de diciembre</v>
          </cell>
          <cell r="C98" t="str">
            <v>in USD Thousands as of December 31st</v>
          </cell>
        </row>
        <row r="99">
          <cell r="B99" t="str">
            <v>en USD millones a 31 de diciembre</v>
          </cell>
          <cell r="C99" t="str">
            <v>in USD Millions as of December 31st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2F7A-06CB-40FD-BBF8-A0F5BA3B027A}">
  <sheetPr codeName="Hoja1"/>
  <dimension ref="A1:Z102"/>
  <sheetViews>
    <sheetView zoomScale="70" zoomScaleNormal="70" workbookViewId="0">
      <selection activeCell="E3" sqref="E3"/>
    </sheetView>
  </sheetViews>
  <sheetFormatPr baseColWidth="10" defaultColWidth="18.90625" defaultRowHeight="15.5" x14ac:dyDescent="0.35"/>
  <cols>
    <col min="1" max="1" width="3.08984375" style="4" customWidth="1"/>
    <col min="2" max="2" width="5.08984375" style="5" customWidth="1"/>
    <col min="3" max="3" width="61.453125" style="4" customWidth="1"/>
    <col min="4" max="8" width="18.90625" style="14"/>
    <col min="9" max="10" width="18.90625" style="4"/>
    <col min="11" max="11" width="38" style="4" bestFit="1" customWidth="1"/>
    <col min="12" max="18" width="18.7265625" style="4" customWidth="1"/>
    <col min="19" max="19" width="5.08984375" style="4" customWidth="1"/>
    <col min="20" max="26" width="18.7265625" style="4" customWidth="1"/>
    <col min="27" max="16384" width="18.90625" style="4"/>
  </cols>
  <sheetData>
    <row r="1" spans="1:26" s="1" customFormat="1" ht="20.25" customHeight="1" thickBot="1" x14ac:dyDescent="0.4">
      <c r="B1" s="2"/>
      <c r="D1" s="3" t="s">
        <v>251</v>
      </c>
      <c r="E1" s="3" t="s">
        <v>251</v>
      </c>
      <c r="F1" s="3" t="s">
        <v>251</v>
      </c>
      <c r="G1" s="3" t="s">
        <v>251</v>
      </c>
      <c r="H1" s="3" t="s">
        <v>251</v>
      </c>
      <c r="I1" s="3" t="s">
        <v>251</v>
      </c>
      <c r="J1" s="3" t="s">
        <v>251</v>
      </c>
      <c r="L1" s="3"/>
      <c r="M1" s="3"/>
      <c r="N1" s="3"/>
      <c r="O1" s="3"/>
      <c r="P1" s="3"/>
      <c r="Q1" s="3"/>
      <c r="R1" s="3"/>
      <c r="T1" s="3"/>
      <c r="U1" s="3"/>
      <c r="V1" s="3"/>
      <c r="W1" s="3"/>
      <c r="X1" s="3"/>
      <c r="Y1" s="3"/>
      <c r="Z1" s="3"/>
    </row>
    <row r="2" spans="1:26" ht="20.25" customHeight="1" thickBot="1" x14ac:dyDescent="0.5">
      <c r="C2" s="6" t="s">
        <v>0</v>
      </c>
      <c r="D2" s="7" t="s">
        <v>252</v>
      </c>
      <c r="E2" s="7" t="s">
        <v>252</v>
      </c>
      <c r="F2" s="7" t="s">
        <v>252</v>
      </c>
      <c r="G2" s="7" t="s">
        <v>252</v>
      </c>
      <c r="H2" s="7" t="s">
        <v>252</v>
      </c>
      <c r="I2" s="7" t="s">
        <v>252</v>
      </c>
      <c r="J2" s="7" t="s">
        <v>252</v>
      </c>
      <c r="L2" s="7"/>
      <c r="M2" s="7"/>
      <c r="N2" s="7"/>
      <c r="O2" s="7"/>
      <c r="P2" s="7"/>
      <c r="Q2" s="7"/>
      <c r="R2" s="7"/>
      <c r="T2" s="7"/>
      <c r="U2" s="7"/>
      <c r="V2" s="7"/>
      <c r="W2" s="7"/>
      <c r="X2" s="7"/>
      <c r="Y2" s="7"/>
      <c r="Z2" s="7"/>
    </row>
    <row r="3" spans="1:26" ht="20.25" customHeight="1" thickBot="1" x14ac:dyDescent="0.45">
      <c r="C3" s="8"/>
      <c r="D3" s="7" t="s">
        <v>252</v>
      </c>
      <c r="E3" s="7" t="s">
        <v>252</v>
      </c>
      <c r="F3" s="7" t="s">
        <v>252</v>
      </c>
      <c r="G3" s="7" t="s">
        <v>252</v>
      </c>
      <c r="H3" s="7" t="s">
        <v>252</v>
      </c>
      <c r="I3" s="7" t="s">
        <v>252</v>
      </c>
      <c r="J3" s="7" t="s">
        <v>252</v>
      </c>
      <c r="K3" s="9" t="s">
        <v>253</v>
      </c>
      <c r="L3" s="7" t="s">
        <v>1</v>
      </c>
      <c r="M3" s="7"/>
      <c r="N3" s="7"/>
      <c r="O3" s="7"/>
      <c r="P3" s="7"/>
      <c r="Q3" s="7"/>
      <c r="R3" s="7"/>
      <c r="T3"/>
      <c r="U3"/>
      <c r="V3"/>
      <c r="W3"/>
      <c r="X3"/>
      <c r="Y3"/>
      <c r="Z3"/>
    </row>
    <row r="4" spans="1:26" ht="20.25" customHeight="1" thickBot="1" x14ac:dyDescent="0.4">
      <c r="C4" s="5"/>
      <c r="D4" s="10">
        <v>2018</v>
      </c>
      <c r="E4" s="11">
        <v>2019</v>
      </c>
      <c r="F4" s="11">
        <v>2020</v>
      </c>
      <c r="G4" s="11">
        <v>2021</v>
      </c>
      <c r="H4" s="12">
        <v>2022</v>
      </c>
      <c r="I4" s="11">
        <v>2023</v>
      </c>
      <c r="J4" s="13">
        <v>2024</v>
      </c>
      <c r="K4" s="5"/>
      <c r="L4" s="10">
        <v>2018</v>
      </c>
      <c r="M4" s="11">
        <v>2019</v>
      </c>
      <c r="N4" s="11">
        <v>2020</v>
      </c>
      <c r="O4" s="11">
        <v>2021</v>
      </c>
      <c r="P4" s="12">
        <v>2022</v>
      </c>
      <c r="Q4" s="11">
        <v>2023</v>
      </c>
      <c r="R4" s="13">
        <v>2024</v>
      </c>
      <c r="T4"/>
      <c r="U4"/>
      <c r="V4"/>
      <c r="W4"/>
      <c r="X4"/>
      <c r="Y4"/>
      <c r="Z4"/>
    </row>
    <row r="5" spans="1:26" ht="16" thickBot="1" x14ac:dyDescent="0.4">
      <c r="K5" s="15" t="s">
        <v>172</v>
      </c>
      <c r="L5" s="16">
        <v>1768.23</v>
      </c>
      <c r="M5" s="17">
        <v>1926.83</v>
      </c>
      <c r="N5" s="17">
        <v>2392.46</v>
      </c>
      <c r="O5" s="17">
        <v>3149.47</v>
      </c>
      <c r="P5" s="18">
        <v>3000.71</v>
      </c>
      <c r="Q5" s="17">
        <v>2984</v>
      </c>
      <c r="R5" s="19">
        <v>3249.75</v>
      </c>
      <c r="T5"/>
      <c r="U5"/>
      <c r="V5"/>
      <c r="W5"/>
      <c r="X5"/>
      <c r="Y5"/>
      <c r="Z5"/>
    </row>
    <row r="6" spans="1:26" ht="16" thickBot="1" x14ac:dyDescent="0.4">
      <c r="A6" s="14"/>
      <c r="B6" s="14">
        <v>1</v>
      </c>
      <c r="C6" s="20" t="s">
        <v>41</v>
      </c>
      <c r="T6"/>
      <c r="U6"/>
      <c r="V6"/>
      <c r="W6"/>
      <c r="X6"/>
      <c r="Y6"/>
      <c r="Z6"/>
    </row>
    <row r="7" spans="1:26" ht="5.25" customHeight="1" thickBot="1" x14ac:dyDescent="0.4">
      <c r="L7" s="14"/>
      <c r="M7" s="14"/>
      <c r="N7" s="14"/>
      <c r="O7" s="14"/>
      <c r="P7" s="14"/>
      <c r="Q7" s="14"/>
      <c r="R7" s="14"/>
      <c r="T7"/>
      <c r="U7"/>
      <c r="V7"/>
      <c r="W7"/>
      <c r="X7"/>
      <c r="Y7"/>
      <c r="Z7"/>
    </row>
    <row r="8" spans="1:26" x14ac:dyDescent="0.35">
      <c r="B8" s="21">
        <v>2</v>
      </c>
      <c r="C8" s="22" t="s">
        <v>13</v>
      </c>
      <c r="D8" s="23">
        <v>1549091</v>
      </c>
      <c r="E8" s="24">
        <v>1562567</v>
      </c>
      <c r="F8" s="24">
        <v>1622420</v>
      </c>
      <c r="G8" s="24">
        <v>1795313</v>
      </c>
      <c r="H8" s="23">
        <v>1957760</v>
      </c>
      <c r="I8" s="24">
        <v>1914390</v>
      </c>
      <c r="J8" s="25">
        <v>1788585</v>
      </c>
      <c r="L8" s="26">
        <v>876068724.0913229</v>
      </c>
      <c r="M8" s="27">
        <v>810952185.71435988</v>
      </c>
      <c r="N8" s="27">
        <v>678138819.45779657</v>
      </c>
      <c r="O8" s="27">
        <v>570036545.83152092</v>
      </c>
      <c r="P8" s="28">
        <v>652432257.69901121</v>
      </c>
      <c r="Q8" s="27">
        <v>641551608.57908845</v>
      </c>
      <c r="R8" s="29">
        <v>550376182.78329098</v>
      </c>
      <c r="T8"/>
      <c r="U8"/>
      <c r="V8"/>
      <c r="W8"/>
      <c r="X8"/>
      <c r="Y8"/>
      <c r="Z8"/>
    </row>
    <row r="9" spans="1:26" x14ac:dyDescent="0.35">
      <c r="B9" s="21">
        <v>3</v>
      </c>
      <c r="C9" s="30" t="s">
        <v>14</v>
      </c>
      <c r="D9" s="31">
        <v>-143930</v>
      </c>
      <c r="E9" s="32">
        <v>-140505</v>
      </c>
      <c r="F9" s="32">
        <v>-157539</v>
      </c>
      <c r="G9" s="32">
        <v>-187088</v>
      </c>
      <c r="H9" s="31">
        <v>-196848</v>
      </c>
      <c r="I9" s="32">
        <v>-191796</v>
      </c>
      <c r="J9" s="33">
        <v>0</v>
      </c>
      <c r="L9" s="34">
        <v>-81397781.962753713</v>
      </c>
      <c r="M9" s="35">
        <v>-72920288.764447302</v>
      </c>
      <c r="N9" s="35">
        <v>-65848122.852628678</v>
      </c>
      <c r="O9" s="35">
        <v>-59403010.665286541</v>
      </c>
      <c r="P9" s="36">
        <v>-65600474.554355472</v>
      </c>
      <c r="Q9" s="35">
        <v>-64274798.927613944</v>
      </c>
      <c r="R9" s="37">
        <v>0</v>
      </c>
      <c r="T9"/>
      <c r="U9"/>
      <c r="V9"/>
      <c r="W9"/>
      <c r="X9"/>
      <c r="Y9"/>
      <c r="Z9"/>
    </row>
    <row r="10" spans="1:26" ht="16" thickBot="1" x14ac:dyDescent="0.4">
      <c r="B10" s="21">
        <v>4</v>
      </c>
      <c r="C10" s="38" t="s">
        <v>42</v>
      </c>
      <c r="D10" s="39">
        <v>12287</v>
      </c>
      <c r="E10" s="40">
        <v>8388</v>
      </c>
      <c r="F10" s="40">
        <v>41962</v>
      </c>
      <c r="G10" s="40">
        <v>18402</v>
      </c>
      <c r="H10" s="39">
        <v>23559</v>
      </c>
      <c r="I10" s="40">
        <v>67698</v>
      </c>
      <c r="J10" s="41">
        <v>5436</v>
      </c>
      <c r="L10" s="42">
        <v>6948756.6662707906</v>
      </c>
      <c r="M10" s="43">
        <v>4353264.1696465183</v>
      </c>
      <c r="N10" s="43">
        <v>17539269.204082828</v>
      </c>
      <c r="O10" s="43">
        <v>5842887.8509717509</v>
      </c>
      <c r="P10" s="44">
        <v>7851141.8964178478</v>
      </c>
      <c r="Q10" s="43">
        <v>22686997.319034852</v>
      </c>
      <c r="R10" s="45">
        <v>1672744.057235172</v>
      </c>
      <c r="T10"/>
      <c r="U10"/>
      <c r="V10"/>
      <c r="W10"/>
      <c r="X10"/>
      <c r="Y10"/>
      <c r="Z10"/>
    </row>
    <row r="11" spans="1:26" ht="16.5" thickTop="1" thickBot="1" x14ac:dyDescent="0.4">
      <c r="B11" s="21">
        <v>5</v>
      </c>
      <c r="C11" s="46" t="s">
        <v>15</v>
      </c>
      <c r="D11" s="47">
        <v>1417448</v>
      </c>
      <c r="E11" s="48">
        <v>1430450</v>
      </c>
      <c r="F11" s="48">
        <v>1506843</v>
      </c>
      <c r="G11" s="48">
        <v>1626627</v>
      </c>
      <c r="H11" s="47">
        <v>1784471</v>
      </c>
      <c r="I11" s="48">
        <v>1790292</v>
      </c>
      <c r="J11" s="49">
        <v>1794021</v>
      </c>
      <c r="L11" s="50">
        <v>801619698.79483998</v>
      </c>
      <c r="M11" s="48">
        <v>742385161.11955917</v>
      </c>
      <c r="N11" s="48">
        <v>629829965.80925071</v>
      </c>
      <c r="O11" s="48">
        <v>516476423.01720613</v>
      </c>
      <c r="P11" s="47">
        <v>594682925.04107368</v>
      </c>
      <c r="Q11" s="51">
        <v>599963806.97050941</v>
      </c>
      <c r="R11" s="49">
        <v>552048926.84052622</v>
      </c>
      <c r="T11"/>
      <c r="U11"/>
      <c r="V11"/>
      <c r="W11"/>
      <c r="X11"/>
      <c r="Y11"/>
      <c r="Z11"/>
    </row>
    <row r="12" spans="1:26" ht="16" thickBot="1" x14ac:dyDescent="0.4">
      <c r="B12" s="21">
        <v>6</v>
      </c>
      <c r="C12" s="52" t="s">
        <v>16</v>
      </c>
      <c r="D12" s="53">
        <v>838081</v>
      </c>
      <c r="E12" s="54">
        <v>829632</v>
      </c>
      <c r="F12" s="54">
        <v>864326</v>
      </c>
      <c r="G12" s="55">
        <v>927834</v>
      </c>
      <c r="H12" s="54">
        <v>998237</v>
      </c>
      <c r="I12" s="55">
        <v>966037</v>
      </c>
      <c r="J12" s="56">
        <v>969463</v>
      </c>
      <c r="L12" s="57">
        <v>473966056.45193213</v>
      </c>
      <c r="M12" s="58">
        <v>430568342.82214832</v>
      </c>
      <c r="N12" s="58">
        <v>361270825.84452826</v>
      </c>
      <c r="O12" s="58">
        <v>294600043.8168962</v>
      </c>
      <c r="P12" s="59">
        <v>332666935.49193352</v>
      </c>
      <c r="Q12" s="58">
        <v>323738941.01876676</v>
      </c>
      <c r="R12" s="60">
        <v>298319255.32733285</v>
      </c>
      <c r="T12"/>
      <c r="U12"/>
      <c r="V12"/>
      <c r="W12"/>
      <c r="X12"/>
      <c r="Y12"/>
      <c r="Z12"/>
    </row>
    <row r="13" spans="1:26" ht="16.5" thickTop="1" thickBot="1" x14ac:dyDescent="0.4">
      <c r="B13" s="21">
        <v>7</v>
      </c>
      <c r="C13" s="46" t="s">
        <v>17</v>
      </c>
      <c r="D13" s="47">
        <v>579367</v>
      </c>
      <c r="E13" s="48">
        <v>600818</v>
      </c>
      <c r="F13" s="48">
        <v>642517</v>
      </c>
      <c r="G13" s="48">
        <v>698793</v>
      </c>
      <c r="H13" s="47">
        <v>786234</v>
      </c>
      <c r="I13" s="48">
        <v>824255</v>
      </c>
      <c r="J13" s="61">
        <v>824558</v>
      </c>
      <c r="L13" s="50">
        <v>327653642.34290785</v>
      </c>
      <c r="M13" s="48">
        <v>311816818.29741079</v>
      </c>
      <c r="N13" s="48">
        <v>268559139.96472245</v>
      </c>
      <c r="O13" s="48">
        <v>221876379.2003099</v>
      </c>
      <c r="P13" s="47">
        <v>262015989.54914004</v>
      </c>
      <c r="Q13" s="48">
        <v>276224865.95174265</v>
      </c>
      <c r="R13" s="61">
        <v>253729671.51319331</v>
      </c>
      <c r="T13"/>
      <c r="U13"/>
      <c r="V13"/>
      <c r="W13"/>
      <c r="X13"/>
      <c r="Y13"/>
      <c r="Z13"/>
    </row>
    <row r="14" spans="1:26" ht="16" thickBot="1" x14ac:dyDescent="0.4">
      <c r="B14" s="21">
        <v>8</v>
      </c>
      <c r="C14" s="30" t="s">
        <v>18</v>
      </c>
      <c r="D14" s="62">
        <v>430281</v>
      </c>
      <c r="E14" s="63">
        <v>436899</v>
      </c>
      <c r="F14" s="63">
        <v>463021</v>
      </c>
      <c r="G14" s="64">
        <v>467970</v>
      </c>
      <c r="H14" s="63">
        <v>521100</v>
      </c>
      <c r="I14" s="64">
        <v>556089</v>
      </c>
      <c r="J14" s="33">
        <v>560005</v>
      </c>
      <c r="L14" s="34">
        <v>243339950.11961114</v>
      </c>
      <c r="M14" s="35">
        <v>226744964.52722865</v>
      </c>
      <c r="N14" s="35">
        <v>193533434.20579654</v>
      </c>
      <c r="O14" s="35">
        <v>148586905.09831813</v>
      </c>
      <c r="P14" s="36">
        <v>173658900.72682801</v>
      </c>
      <c r="Q14" s="35">
        <v>186356903.4852547</v>
      </c>
      <c r="R14" s="37">
        <v>172322486.34510347</v>
      </c>
      <c r="T14"/>
      <c r="U14"/>
      <c r="V14"/>
      <c r="W14"/>
      <c r="X14"/>
      <c r="Y14"/>
      <c r="Z14"/>
    </row>
    <row r="15" spans="1:26" ht="16" thickBot="1" x14ac:dyDescent="0.4">
      <c r="B15" s="21">
        <v>9</v>
      </c>
      <c r="C15" s="65" t="s">
        <v>19</v>
      </c>
      <c r="D15" s="66">
        <v>149086</v>
      </c>
      <c r="E15" s="67">
        <v>163919</v>
      </c>
      <c r="F15" s="67">
        <v>179496</v>
      </c>
      <c r="G15" s="67">
        <v>230823</v>
      </c>
      <c r="H15" s="66">
        <v>265134</v>
      </c>
      <c r="I15" s="67">
        <v>268166</v>
      </c>
      <c r="J15" s="68">
        <v>264553</v>
      </c>
      <c r="L15" s="69">
        <v>84313692.223296747</v>
      </c>
      <c r="M15" s="67">
        <v>85071853.770182118</v>
      </c>
      <c r="N15" s="67">
        <v>75025705.758925945</v>
      </c>
      <c r="O15" s="67">
        <v>73289474.101991773</v>
      </c>
      <c r="P15" s="66">
        <v>88357088.822312057</v>
      </c>
      <c r="Q15" s="67">
        <v>89867962.466487944</v>
      </c>
      <c r="R15" s="68">
        <v>81407185.168089852</v>
      </c>
      <c r="T15"/>
      <c r="U15"/>
      <c r="V15"/>
      <c r="W15"/>
      <c r="X15"/>
      <c r="Y15"/>
      <c r="Z15"/>
    </row>
    <row r="16" spans="1:26" ht="16" thickBot="1" x14ac:dyDescent="0.4">
      <c r="B16" s="21">
        <v>10</v>
      </c>
      <c r="C16" s="52" t="s">
        <v>20</v>
      </c>
      <c r="D16" s="53">
        <v>53989</v>
      </c>
      <c r="E16" s="54">
        <v>56105</v>
      </c>
      <c r="F16" s="54">
        <v>61488</v>
      </c>
      <c r="G16" s="55">
        <v>57964</v>
      </c>
      <c r="H16" s="54">
        <v>54468</v>
      </c>
      <c r="I16" s="55">
        <v>56505</v>
      </c>
      <c r="J16" s="56">
        <v>61747</v>
      </c>
      <c r="L16" s="57">
        <v>30532792.679685336</v>
      </c>
      <c r="M16" s="58">
        <v>29117773.752744146</v>
      </c>
      <c r="N16" s="58">
        <v>25700743.168119844</v>
      </c>
      <c r="O16" s="58">
        <v>18404366.44895808</v>
      </c>
      <c r="P16" s="59">
        <v>18151704.096697114</v>
      </c>
      <c r="Q16" s="58">
        <v>18935991.95710456</v>
      </c>
      <c r="R16" s="60">
        <v>19000538.502961766</v>
      </c>
      <c r="T16"/>
      <c r="U16"/>
      <c r="V16"/>
      <c r="W16"/>
      <c r="X16"/>
      <c r="Y16"/>
      <c r="Z16"/>
    </row>
    <row r="17" spans="2:26" ht="16.5" thickTop="1" thickBot="1" x14ac:dyDescent="0.4">
      <c r="B17" s="21">
        <v>11</v>
      </c>
      <c r="C17" s="46" t="s">
        <v>21</v>
      </c>
      <c r="D17" s="47">
        <v>95097</v>
      </c>
      <c r="E17" s="48">
        <v>107814</v>
      </c>
      <c r="F17" s="48">
        <v>118008</v>
      </c>
      <c r="G17" s="48">
        <v>172859</v>
      </c>
      <c r="H17" s="47">
        <v>210666</v>
      </c>
      <c r="I17" s="48">
        <v>211661</v>
      </c>
      <c r="J17" s="61">
        <v>202806</v>
      </c>
      <c r="L17" s="50">
        <v>53780899.543611407</v>
      </c>
      <c r="M17" s="48">
        <v>55954080.017437965</v>
      </c>
      <c r="N17" s="48">
        <v>49324962.590806119</v>
      </c>
      <c r="O17" s="48">
        <v>54885107.653033689</v>
      </c>
      <c r="P17" s="47">
        <v>70205384.725614935</v>
      </c>
      <c r="Q17" s="48">
        <v>70931970.50938338</v>
      </c>
      <c r="R17" s="61">
        <v>62406646.665128089</v>
      </c>
      <c r="T17"/>
      <c r="U17"/>
      <c r="V17"/>
      <c r="W17"/>
      <c r="X17"/>
      <c r="Y17"/>
      <c r="Z17"/>
    </row>
    <row r="18" spans="2:26" x14ac:dyDescent="0.35">
      <c r="B18" s="21">
        <v>12</v>
      </c>
      <c r="C18" s="30" t="s">
        <v>22</v>
      </c>
      <c r="D18" s="62">
        <v>34446</v>
      </c>
      <c r="E18" s="63">
        <v>33459</v>
      </c>
      <c r="F18" s="63">
        <v>36289</v>
      </c>
      <c r="G18" s="64">
        <v>41205</v>
      </c>
      <c r="H18" s="63">
        <v>53311</v>
      </c>
      <c r="I18" s="64">
        <v>50051</v>
      </c>
      <c r="J18" s="33">
        <v>44476</v>
      </c>
      <c r="L18" s="34">
        <v>19480497.446599141</v>
      </c>
      <c r="M18" s="35">
        <v>17364790.874130048</v>
      </c>
      <c r="N18" s="35">
        <v>15168069.685595579</v>
      </c>
      <c r="O18" s="35">
        <v>13083153.673475219</v>
      </c>
      <c r="P18" s="36">
        <v>17766128.682878386</v>
      </c>
      <c r="Q18" s="35">
        <v>16773123.324396782</v>
      </c>
      <c r="R18" s="37">
        <v>13685975.844295716</v>
      </c>
      <c r="T18"/>
      <c r="U18"/>
      <c r="V18"/>
      <c r="W18"/>
      <c r="X18"/>
      <c r="Y18"/>
      <c r="Z18"/>
    </row>
    <row r="19" spans="2:26" x14ac:dyDescent="0.35">
      <c r="B19" s="21">
        <v>13</v>
      </c>
      <c r="C19" s="30" t="s">
        <v>23</v>
      </c>
      <c r="D19" s="62">
        <v>-15160</v>
      </c>
      <c r="E19" s="63">
        <v>-14659</v>
      </c>
      <c r="F19" s="63">
        <v>-3745</v>
      </c>
      <c r="G19" s="64">
        <v>1417</v>
      </c>
      <c r="H19" s="63">
        <v>-10766</v>
      </c>
      <c r="I19" s="64">
        <v>-5409</v>
      </c>
      <c r="J19" s="33">
        <v>-3310</v>
      </c>
      <c r="L19" s="34">
        <v>-8573545.2967091389</v>
      </c>
      <c r="M19" s="35">
        <v>-7607832.5539876381</v>
      </c>
      <c r="N19" s="35">
        <v>-1565334.4256539294</v>
      </c>
      <c r="O19" s="35">
        <v>449916.97015688359</v>
      </c>
      <c r="P19" s="36">
        <v>-3587817.549846536</v>
      </c>
      <c r="Q19" s="35">
        <v>-1812667.5603217157</v>
      </c>
      <c r="R19" s="37">
        <v>-1018539.8876836679</v>
      </c>
      <c r="T19"/>
      <c r="U19"/>
      <c r="V19"/>
      <c r="W19"/>
      <c r="X19"/>
      <c r="Y19"/>
      <c r="Z19"/>
    </row>
    <row r="20" spans="2:26" x14ac:dyDescent="0.35">
      <c r="B20" s="21">
        <v>14</v>
      </c>
      <c r="C20" s="30" t="s">
        <v>24</v>
      </c>
      <c r="D20" s="62">
        <v>8726</v>
      </c>
      <c r="E20" s="63">
        <v>300</v>
      </c>
      <c r="F20" s="63">
        <v>-9856</v>
      </c>
      <c r="G20" s="64">
        <v>-15572</v>
      </c>
      <c r="H20" s="63">
        <v>-12790</v>
      </c>
      <c r="I20" s="64">
        <v>-16457</v>
      </c>
      <c r="J20" s="33">
        <v>-56207</v>
      </c>
      <c r="L20" s="34">
        <v>4934878.3812060645</v>
      </c>
      <c r="M20" s="35">
        <v>155696.14340652782</v>
      </c>
      <c r="N20" s="35">
        <v>-4119609.1052723974</v>
      </c>
      <c r="O20" s="35">
        <v>-4944323.9656196125</v>
      </c>
      <c r="P20" s="36">
        <v>-4262324.5831819801</v>
      </c>
      <c r="Q20" s="35">
        <v>-5515080.4289544234</v>
      </c>
      <c r="R20" s="37">
        <v>-17295791.983998768</v>
      </c>
      <c r="T20"/>
      <c r="U20"/>
      <c r="V20"/>
      <c r="W20"/>
      <c r="X20"/>
      <c r="Y20"/>
      <c r="Z20"/>
    </row>
    <row r="21" spans="2:26" x14ac:dyDescent="0.35">
      <c r="B21" s="21">
        <v>15</v>
      </c>
      <c r="C21" s="30" t="s">
        <v>25</v>
      </c>
      <c r="D21" s="62">
        <v>-540</v>
      </c>
      <c r="E21" s="63">
        <v>117</v>
      </c>
      <c r="F21" s="63">
        <v>-1025</v>
      </c>
      <c r="G21" s="64">
        <v>-2415</v>
      </c>
      <c r="H21" s="63">
        <v>878</v>
      </c>
      <c r="I21" s="64">
        <v>-749</v>
      </c>
      <c r="J21" s="33">
        <v>300</v>
      </c>
      <c r="L21" s="34">
        <v>-305390.13589861046</v>
      </c>
      <c r="M21" s="35">
        <v>60721.495928545854</v>
      </c>
      <c r="N21" s="35">
        <v>-428429.31543265091</v>
      </c>
      <c r="O21" s="35">
        <v>-766795.68308318546</v>
      </c>
      <c r="P21" s="36">
        <v>292597.41861092875</v>
      </c>
      <c r="Q21" s="35">
        <v>-251005.36193029486</v>
      </c>
      <c r="R21" s="37">
        <v>92314.793445649659</v>
      </c>
      <c r="T21"/>
      <c r="U21"/>
      <c r="V21"/>
      <c r="W21"/>
      <c r="X21"/>
      <c r="Y21"/>
      <c r="Z21"/>
    </row>
    <row r="22" spans="2:26" x14ac:dyDescent="0.35">
      <c r="B22" s="21">
        <v>16</v>
      </c>
      <c r="C22" s="30" t="s">
        <v>26</v>
      </c>
      <c r="D22" s="62">
        <v>-553</v>
      </c>
      <c r="E22" s="63">
        <v>-499</v>
      </c>
      <c r="F22" s="63">
        <v>-13360</v>
      </c>
      <c r="G22" s="64">
        <v>-22624</v>
      </c>
      <c r="H22" s="63">
        <v>3136</v>
      </c>
      <c r="I22" s="64">
        <v>559</v>
      </c>
      <c r="J22" s="33">
        <v>1631</v>
      </c>
      <c r="L22" s="34">
        <v>-312742.12065172521</v>
      </c>
      <c r="M22" s="35">
        <v>-258974.58519952459</v>
      </c>
      <c r="N22" s="35">
        <v>-5584210.3943221625</v>
      </c>
      <c r="O22" s="35">
        <v>-7183430.8629705962</v>
      </c>
      <c r="P22" s="36">
        <v>1045085.9963142056</v>
      </c>
      <c r="Q22" s="35">
        <v>187332.43967828419</v>
      </c>
      <c r="R22" s="37">
        <v>501884.76036618202</v>
      </c>
      <c r="T22"/>
      <c r="U22"/>
      <c r="V22"/>
      <c r="W22"/>
      <c r="X22"/>
      <c r="Y22"/>
      <c r="Z22"/>
    </row>
    <row r="23" spans="2:26" ht="16" thickBot="1" x14ac:dyDescent="0.4">
      <c r="B23" s="21">
        <v>17</v>
      </c>
      <c r="C23" s="38" t="s">
        <v>27</v>
      </c>
      <c r="D23" s="70">
        <v>818</v>
      </c>
      <c r="E23" s="71">
        <v>967</v>
      </c>
      <c r="F23" s="71">
        <v>3688</v>
      </c>
      <c r="G23" s="72">
        <v>19341</v>
      </c>
      <c r="H23" s="71">
        <v>-3100</v>
      </c>
      <c r="I23" s="72">
        <v>1690</v>
      </c>
      <c r="J23" s="41">
        <v>5163</v>
      </c>
      <c r="L23" s="42">
        <v>462609.50215752475</v>
      </c>
      <c r="M23" s="43">
        <v>501860.56891370803</v>
      </c>
      <c r="N23" s="43">
        <v>1541509.5759176747</v>
      </c>
      <c r="O23" s="43">
        <v>6141033.2532140333</v>
      </c>
      <c r="P23" s="44">
        <v>-1033088.8356422314</v>
      </c>
      <c r="Q23" s="43">
        <v>566353.8873994638</v>
      </c>
      <c r="R23" s="45">
        <v>1588737.5951996308</v>
      </c>
      <c r="T23"/>
      <c r="U23"/>
      <c r="V23"/>
      <c r="W23"/>
      <c r="X23"/>
      <c r="Y23"/>
      <c r="Z23"/>
    </row>
    <row r="24" spans="2:26" ht="16.5" thickTop="1" thickBot="1" x14ac:dyDescent="0.4">
      <c r="B24" s="21">
        <v>18</v>
      </c>
      <c r="C24" s="46" t="s">
        <v>28</v>
      </c>
      <c r="D24" s="47">
        <v>53942</v>
      </c>
      <c r="E24" s="48">
        <v>60581</v>
      </c>
      <c r="F24" s="48">
        <v>57421</v>
      </c>
      <c r="G24" s="48">
        <v>111801</v>
      </c>
      <c r="H24" s="47">
        <v>134713</v>
      </c>
      <c r="I24" s="48">
        <v>141244</v>
      </c>
      <c r="J24" s="61">
        <v>105907</v>
      </c>
      <c r="L24" s="50">
        <v>30506212.427116383</v>
      </c>
      <c r="M24" s="48">
        <v>31440760.212369539</v>
      </c>
      <c r="N24" s="48">
        <v>24000819.24044707</v>
      </c>
      <c r="O24" s="48">
        <v>35498353.691255994</v>
      </c>
      <c r="P24" s="47">
        <v>44893708.48899094</v>
      </c>
      <c r="Q24" s="48">
        <v>47333780.160857908</v>
      </c>
      <c r="R24" s="61">
        <v>32589276.098161399</v>
      </c>
      <c r="T24"/>
      <c r="U24"/>
      <c r="V24"/>
      <c r="W24"/>
      <c r="X24"/>
      <c r="Y24"/>
      <c r="Z24"/>
    </row>
    <row r="25" spans="2:26" ht="16" thickBot="1" x14ac:dyDescent="0.4">
      <c r="B25" s="21">
        <v>19</v>
      </c>
      <c r="C25" s="52" t="s">
        <v>29</v>
      </c>
      <c r="D25" s="53">
        <v>20359</v>
      </c>
      <c r="E25" s="54">
        <v>24484</v>
      </c>
      <c r="F25" s="54">
        <v>31213</v>
      </c>
      <c r="G25" s="55">
        <v>47671</v>
      </c>
      <c r="H25" s="54">
        <v>60443</v>
      </c>
      <c r="I25" s="55">
        <v>59339</v>
      </c>
      <c r="J25" s="56">
        <v>12905</v>
      </c>
      <c r="L25" s="57">
        <v>11513773.660666317</v>
      </c>
      <c r="M25" s="58">
        <v>12706881.250551425</v>
      </c>
      <c r="N25" s="58">
        <v>13046404.119609106</v>
      </c>
      <c r="O25" s="58">
        <v>15136197.518947633</v>
      </c>
      <c r="P25" s="59">
        <v>20142899.513781738</v>
      </c>
      <c r="Q25" s="58">
        <v>19885723.860589813</v>
      </c>
      <c r="R25" s="60">
        <v>3971074.6980536962</v>
      </c>
      <c r="T25"/>
      <c r="U25"/>
      <c r="V25"/>
      <c r="W25"/>
      <c r="X25"/>
      <c r="Y25"/>
      <c r="Z25"/>
    </row>
    <row r="26" spans="2:26" ht="16.5" thickTop="1" thickBot="1" x14ac:dyDescent="0.4">
      <c r="B26" s="21">
        <v>20</v>
      </c>
      <c r="C26" s="46" t="s">
        <v>30</v>
      </c>
      <c r="D26" s="47">
        <v>33583</v>
      </c>
      <c r="E26" s="48">
        <v>36097</v>
      </c>
      <c r="F26" s="48">
        <v>26208</v>
      </c>
      <c r="G26" s="48">
        <v>64130</v>
      </c>
      <c r="H26" s="47">
        <v>74270</v>
      </c>
      <c r="I26" s="48">
        <v>81905</v>
      </c>
      <c r="J26" s="61">
        <v>93002</v>
      </c>
      <c r="L26" s="50">
        <v>18992438.766450062</v>
      </c>
      <c r="M26" s="48">
        <v>18733878.961818118</v>
      </c>
      <c r="N26" s="48">
        <v>10954415.120837966</v>
      </c>
      <c r="O26" s="48">
        <v>20362156.172308356</v>
      </c>
      <c r="P26" s="47">
        <v>24750808.975209199</v>
      </c>
      <c r="Q26" s="48">
        <v>27448056.300268095</v>
      </c>
      <c r="R26" s="61">
        <v>28618201.4001077</v>
      </c>
      <c r="T26"/>
      <c r="U26"/>
      <c r="V26"/>
      <c r="W26"/>
      <c r="X26"/>
      <c r="Y26"/>
      <c r="Z26"/>
    </row>
    <row r="27" spans="2:26" ht="5.25" customHeight="1" thickBot="1" x14ac:dyDescent="0.4">
      <c r="D27" s="73"/>
      <c r="E27" s="73"/>
      <c r="F27" s="73"/>
      <c r="G27" s="73"/>
      <c r="H27" s="74"/>
      <c r="I27" s="74"/>
      <c r="J27" s="73"/>
      <c r="L27" s="73"/>
      <c r="M27" s="73"/>
      <c r="N27" s="73"/>
      <c r="O27" s="73"/>
      <c r="P27" s="74"/>
      <c r="Q27" s="74"/>
      <c r="R27" s="73"/>
      <c r="T27"/>
      <c r="U27"/>
      <c r="V27"/>
      <c r="W27"/>
      <c r="X27"/>
      <c r="Y27"/>
      <c r="Z27"/>
    </row>
    <row r="28" spans="2:26" ht="16" thickBot="1" x14ac:dyDescent="0.4">
      <c r="B28" s="21">
        <v>21</v>
      </c>
      <c r="C28" s="20" t="s">
        <v>43</v>
      </c>
      <c r="D28" s="73"/>
      <c r="E28" s="75"/>
      <c r="F28" s="75"/>
      <c r="G28" s="73"/>
      <c r="H28" s="73"/>
      <c r="I28" s="73"/>
      <c r="J28" s="73"/>
      <c r="L28" s="73"/>
      <c r="M28" s="75"/>
      <c r="N28" s="75"/>
      <c r="O28" s="73"/>
      <c r="P28" s="73"/>
      <c r="Q28" s="73"/>
      <c r="R28" s="73"/>
      <c r="T28"/>
      <c r="U28"/>
      <c r="V28"/>
      <c r="W28"/>
      <c r="X28"/>
      <c r="Y28"/>
      <c r="Z28"/>
    </row>
    <row r="29" spans="2:26" ht="5.25" customHeight="1" thickBot="1" x14ac:dyDescent="0.4">
      <c r="D29" s="73"/>
      <c r="E29" s="73"/>
      <c r="F29" s="73"/>
      <c r="G29" s="73"/>
      <c r="H29" s="73"/>
      <c r="I29" s="73"/>
      <c r="J29" s="73"/>
      <c r="L29" s="73"/>
      <c r="M29" s="73"/>
      <c r="N29" s="73"/>
      <c r="O29" s="73"/>
      <c r="P29" s="73"/>
      <c r="Q29" s="73"/>
      <c r="R29" s="73"/>
      <c r="T29"/>
      <c r="U29"/>
      <c r="V29"/>
      <c r="W29"/>
      <c r="X29"/>
      <c r="Y29"/>
      <c r="Z29"/>
    </row>
    <row r="30" spans="2:26" ht="16" thickBot="1" x14ac:dyDescent="0.4">
      <c r="B30" s="21">
        <v>22</v>
      </c>
      <c r="C30" s="76" t="s">
        <v>2</v>
      </c>
      <c r="F30" s="77"/>
      <c r="G30" s="77"/>
      <c r="H30" s="77"/>
      <c r="I30" s="77"/>
      <c r="J30" s="78"/>
      <c r="L30" s="77"/>
      <c r="M30" s="77"/>
      <c r="N30" s="77"/>
      <c r="O30" s="77"/>
      <c r="P30" s="77"/>
      <c r="Q30" s="77"/>
      <c r="R30" s="77"/>
      <c r="T30"/>
      <c r="U30"/>
      <c r="V30"/>
      <c r="W30"/>
      <c r="X30"/>
      <c r="Y30"/>
      <c r="Z30"/>
    </row>
    <row r="31" spans="2:26" x14ac:dyDescent="0.35">
      <c r="B31" s="21">
        <v>23</v>
      </c>
      <c r="C31" s="22" t="s">
        <v>44</v>
      </c>
      <c r="D31" s="79">
        <v>52714</v>
      </c>
      <c r="E31" s="80">
        <v>78757</v>
      </c>
      <c r="F31" s="80">
        <v>62095</v>
      </c>
      <c r="G31" s="81">
        <v>9934</v>
      </c>
      <c r="H31" s="80">
        <v>53239</v>
      </c>
      <c r="I31" s="81">
        <v>61064</v>
      </c>
      <c r="J31" s="25">
        <v>64418</v>
      </c>
      <c r="L31" s="26">
        <v>29811732.636591394</v>
      </c>
      <c r="M31" s="27">
        <v>40873870.554226369</v>
      </c>
      <c r="N31" s="27">
        <v>25954456.918819956</v>
      </c>
      <c r="O31" s="27">
        <v>3154181.4972042916</v>
      </c>
      <c r="P31" s="28">
        <v>17742134.361534435</v>
      </c>
      <c r="Q31" s="27">
        <v>20463806.970509384</v>
      </c>
      <c r="R31" s="29">
        <v>19822447.880606201</v>
      </c>
      <c r="T31"/>
      <c r="U31"/>
      <c r="V31"/>
      <c r="W31"/>
      <c r="X31"/>
      <c r="Y31"/>
      <c r="Z31"/>
    </row>
    <row r="32" spans="2:26" x14ac:dyDescent="0.35">
      <c r="B32" s="21">
        <v>24</v>
      </c>
      <c r="C32" s="30" t="s">
        <v>45</v>
      </c>
      <c r="D32" s="62">
        <v>59975</v>
      </c>
      <c r="E32" s="63">
        <v>58452</v>
      </c>
      <c r="F32" s="63">
        <v>70401</v>
      </c>
      <c r="G32" s="64">
        <v>95915</v>
      </c>
      <c r="H32" s="63">
        <v>131823</v>
      </c>
      <c r="I32" s="64">
        <v>131324</v>
      </c>
      <c r="J32" s="33">
        <v>148959</v>
      </c>
      <c r="L32" s="34">
        <v>33918098.889850296</v>
      </c>
      <c r="M32" s="35">
        <v>30335836.581327882</v>
      </c>
      <c r="N32" s="35">
        <v>29426197.303194199</v>
      </c>
      <c r="O32" s="35">
        <v>30454330.411148544</v>
      </c>
      <c r="P32" s="36">
        <v>43930603.090601891</v>
      </c>
      <c r="Q32" s="35">
        <v>44009383.378016092</v>
      </c>
      <c r="R32" s="37">
        <v>45837064.389568426</v>
      </c>
      <c r="T32"/>
      <c r="U32"/>
      <c r="V32"/>
      <c r="W32"/>
      <c r="X32"/>
      <c r="Y32"/>
      <c r="Z32"/>
    </row>
    <row r="33" spans="2:26" x14ac:dyDescent="0.35">
      <c r="B33" s="21">
        <v>25</v>
      </c>
      <c r="C33" s="30" t="s">
        <v>46</v>
      </c>
      <c r="D33" s="62">
        <v>-520</v>
      </c>
      <c r="E33" s="63">
        <v>-1374</v>
      </c>
      <c r="F33" s="63">
        <v>-1583</v>
      </c>
      <c r="G33" s="64">
        <v>-706</v>
      </c>
      <c r="H33" s="63">
        <v>-1869</v>
      </c>
      <c r="I33" s="64">
        <v>-1199</v>
      </c>
      <c r="J33" s="33">
        <v>-12119</v>
      </c>
      <c r="L33" s="34">
        <v>-294079.39012458781</v>
      </c>
      <c r="M33" s="35">
        <v>-713088.33680189739</v>
      </c>
      <c r="N33" s="35">
        <v>-661662.05495598668</v>
      </c>
      <c r="O33" s="35">
        <v>-224164.700727424</v>
      </c>
      <c r="P33" s="36">
        <v>-622852.5915533324</v>
      </c>
      <c r="Q33" s="35">
        <v>-401809.65147453087</v>
      </c>
      <c r="R33" s="37">
        <v>-3729209.9392260942</v>
      </c>
      <c r="T33"/>
      <c r="U33"/>
      <c r="V33"/>
      <c r="W33"/>
      <c r="X33"/>
      <c r="Y33"/>
      <c r="Z33"/>
    </row>
    <row r="34" spans="2:26" x14ac:dyDescent="0.35">
      <c r="B34" s="21">
        <v>26</v>
      </c>
      <c r="C34" s="30" t="s">
        <v>47</v>
      </c>
      <c r="D34" s="62">
        <v>109736</v>
      </c>
      <c r="E34" s="63">
        <v>117265</v>
      </c>
      <c r="F34" s="63">
        <v>112878</v>
      </c>
      <c r="G34" s="64">
        <v>115340</v>
      </c>
      <c r="H34" s="63">
        <v>130985</v>
      </c>
      <c r="I34" s="64">
        <v>111222</v>
      </c>
      <c r="J34" s="33">
        <v>141539</v>
      </c>
      <c r="L34" s="34">
        <v>62059799.912907258</v>
      </c>
      <c r="M34" s="35">
        <v>60859027.521888286</v>
      </c>
      <c r="N34" s="35">
        <v>47180726.114543192</v>
      </c>
      <c r="O34" s="35">
        <v>36622034.818556778</v>
      </c>
      <c r="P34" s="36">
        <v>43651335.850515381</v>
      </c>
      <c r="Q34" s="35">
        <v>37272788.203753352</v>
      </c>
      <c r="R34" s="37">
        <v>43553811.831679359</v>
      </c>
      <c r="T34"/>
      <c r="U34"/>
      <c r="V34"/>
      <c r="W34"/>
      <c r="X34"/>
      <c r="Y34"/>
      <c r="Z34"/>
    </row>
    <row r="35" spans="2:26" ht="16" thickBot="1" x14ac:dyDescent="0.4">
      <c r="B35" s="21">
        <v>27</v>
      </c>
      <c r="C35" s="38" t="s">
        <v>48</v>
      </c>
      <c r="D35" s="70">
        <v>151569</v>
      </c>
      <c r="E35" s="71">
        <v>89419</v>
      </c>
      <c r="F35" s="71">
        <v>25779</v>
      </c>
      <c r="G35" s="72">
        <v>117746</v>
      </c>
      <c r="H35" s="71">
        <v>35699</v>
      </c>
      <c r="I35" s="72">
        <v>26087</v>
      </c>
      <c r="J35" s="41">
        <v>28266</v>
      </c>
      <c r="L35" s="42">
        <v>85717921.311141655</v>
      </c>
      <c r="M35" s="43">
        <v>46407311.49089437</v>
      </c>
      <c r="N35" s="43">
        <v>10775101.778086154</v>
      </c>
      <c r="O35" s="43">
        <v>37385972.877976298</v>
      </c>
      <c r="P35" s="44">
        <v>11896851.07857807</v>
      </c>
      <c r="Q35" s="43">
        <v>8742292.2252010722</v>
      </c>
      <c r="R35" s="45">
        <v>8697899.8384491112</v>
      </c>
      <c r="T35"/>
      <c r="U35"/>
      <c r="V35"/>
      <c r="W35"/>
      <c r="X35"/>
      <c r="Y35"/>
      <c r="Z35"/>
    </row>
    <row r="36" spans="2:26" ht="16.5" thickTop="1" thickBot="1" x14ac:dyDescent="0.4">
      <c r="B36" s="21">
        <v>28</v>
      </c>
      <c r="C36" s="82" t="s">
        <v>49</v>
      </c>
      <c r="D36" s="47">
        <v>373474</v>
      </c>
      <c r="E36" s="48">
        <v>342519</v>
      </c>
      <c r="F36" s="48">
        <v>269570</v>
      </c>
      <c r="G36" s="48">
        <v>338229</v>
      </c>
      <c r="H36" s="47">
        <v>349877</v>
      </c>
      <c r="I36" s="48">
        <v>328498</v>
      </c>
      <c r="J36" s="61">
        <v>371063</v>
      </c>
      <c r="L36" s="50">
        <v>211213473.36036602</v>
      </c>
      <c r="M36" s="48">
        <v>177762957.81153503</v>
      </c>
      <c r="N36" s="48">
        <v>112674820.05968753</v>
      </c>
      <c r="O36" s="48">
        <v>107392354.90415849</v>
      </c>
      <c r="P36" s="47">
        <v>116598071.78967644</v>
      </c>
      <c r="Q36" s="48">
        <v>110086461.12600537</v>
      </c>
      <c r="R36" s="61">
        <v>114182014.00107701</v>
      </c>
      <c r="T36"/>
      <c r="U36"/>
      <c r="V36"/>
      <c r="W36"/>
      <c r="X36"/>
      <c r="Y36"/>
      <c r="Z36"/>
    </row>
    <row r="37" spans="2:26" x14ac:dyDescent="0.35">
      <c r="B37" s="21">
        <v>29</v>
      </c>
      <c r="C37" s="22" t="s">
        <v>50</v>
      </c>
      <c r="D37" s="79">
        <v>311232</v>
      </c>
      <c r="E37" s="80">
        <v>297943</v>
      </c>
      <c r="F37" s="80">
        <v>436903</v>
      </c>
      <c r="G37" s="81">
        <v>450420</v>
      </c>
      <c r="H37" s="80">
        <v>451788</v>
      </c>
      <c r="I37" s="81">
        <v>501024</v>
      </c>
      <c r="J37" s="25">
        <v>476692</v>
      </c>
      <c r="L37" s="26">
        <v>176013301.43703023</v>
      </c>
      <c r="M37" s="27">
        <v>154628586.84990373</v>
      </c>
      <c r="N37" s="27">
        <v>182616637.26875266</v>
      </c>
      <c r="O37" s="27">
        <v>143014538.95417324</v>
      </c>
      <c r="P37" s="28">
        <v>150560367.37972012</v>
      </c>
      <c r="Q37" s="27">
        <v>167903485.25469169</v>
      </c>
      <c r="R37" s="29">
        <v>146685745.0573121</v>
      </c>
      <c r="T37"/>
      <c r="U37"/>
      <c r="V37"/>
      <c r="W37"/>
      <c r="X37"/>
      <c r="Y37"/>
      <c r="Z37"/>
    </row>
    <row r="38" spans="2:26" x14ac:dyDescent="0.35">
      <c r="B38" s="21">
        <v>30</v>
      </c>
      <c r="C38" s="30" t="s">
        <v>51</v>
      </c>
      <c r="D38" s="62">
        <v>55730</v>
      </c>
      <c r="E38" s="63">
        <v>48262</v>
      </c>
      <c r="F38" s="63">
        <v>65</v>
      </c>
      <c r="G38" s="64">
        <v>210</v>
      </c>
      <c r="H38" s="63">
        <v>0</v>
      </c>
      <c r="I38" s="64">
        <v>0</v>
      </c>
      <c r="J38" s="33">
        <v>20809</v>
      </c>
      <c r="L38" s="34">
        <v>31517393.099314004</v>
      </c>
      <c r="M38" s="35">
        <v>25047357.576952819</v>
      </c>
      <c r="N38" s="35">
        <v>27168.688295729084</v>
      </c>
      <c r="O38" s="35">
        <v>66677.885485494393</v>
      </c>
      <c r="P38" s="36">
        <v>0</v>
      </c>
      <c r="Q38" s="35">
        <v>0</v>
      </c>
      <c r="R38" s="37">
        <v>6403261.7893684134</v>
      </c>
      <c r="T38"/>
      <c r="U38"/>
      <c r="V38"/>
      <c r="W38"/>
      <c r="X38"/>
      <c r="Y38"/>
      <c r="Z38"/>
    </row>
    <row r="39" spans="2:26" x14ac:dyDescent="0.35">
      <c r="B39" s="21">
        <v>31</v>
      </c>
      <c r="C39" s="30" t="s">
        <v>52</v>
      </c>
      <c r="D39" s="62">
        <v>383893</v>
      </c>
      <c r="E39" s="63">
        <v>316599</v>
      </c>
      <c r="F39" s="63">
        <v>38964</v>
      </c>
      <c r="G39" s="64">
        <v>40628</v>
      </c>
      <c r="H39" s="63">
        <v>32723</v>
      </c>
      <c r="I39" s="64">
        <v>29722</v>
      </c>
      <c r="J39" s="33">
        <v>72129</v>
      </c>
      <c r="L39" s="34">
        <v>217105806.37134308</v>
      </c>
      <c r="M39" s="35">
        <v>164310811.021211</v>
      </c>
      <c r="N39" s="35">
        <v>16286165.703919813</v>
      </c>
      <c r="O39" s="35">
        <v>12899948.245260313</v>
      </c>
      <c r="P39" s="36">
        <v>10905085.796361528</v>
      </c>
      <c r="Q39" s="35">
        <v>9960455.7640750669</v>
      </c>
      <c r="R39" s="37">
        <v>22195245.788137548</v>
      </c>
      <c r="T39"/>
      <c r="U39"/>
      <c r="V39"/>
      <c r="W39"/>
      <c r="X39"/>
      <c r="Y39"/>
      <c r="Z39"/>
    </row>
    <row r="40" spans="2:26" x14ac:dyDescent="0.35">
      <c r="B40" s="21">
        <v>32</v>
      </c>
      <c r="C40" s="30" t="s">
        <v>53</v>
      </c>
      <c r="D40" s="62">
        <v>38710</v>
      </c>
      <c r="E40" s="63">
        <v>40990</v>
      </c>
      <c r="F40" s="63">
        <v>35798</v>
      </c>
      <c r="G40" s="64">
        <v>49146</v>
      </c>
      <c r="H40" s="63">
        <v>47040</v>
      </c>
      <c r="I40" s="64">
        <v>48731</v>
      </c>
      <c r="J40" s="33">
        <v>53895</v>
      </c>
      <c r="L40" s="34">
        <v>21891948.445620764</v>
      </c>
      <c r="M40" s="35">
        <v>21273283.060778584</v>
      </c>
      <c r="N40" s="35">
        <v>14962841.59400784</v>
      </c>
      <c r="O40" s="35">
        <v>15604530.286048129</v>
      </c>
      <c r="P40" s="36">
        <v>15676289.944713086</v>
      </c>
      <c r="Q40" s="35">
        <v>16330764.075067023</v>
      </c>
      <c r="R40" s="37">
        <v>16584352.642510962</v>
      </c>
      <c r="T40"/>
      <c r="U40"/>
      <c r="V40"/>
      <c r="W40"/>
      <c r="X40"/>
      <c r="Y40"/>
      <c r="Z40"/>
    </row>
    <row r="41" spans="2:26" ht="16" thickBot="1" x14ac:dyDescent="0.4">
      <c r="B41" s="21">
        <v>33</v>
      </c>
      <c r="C41" s="38" t="s">
        <v>54</v>
      </c>
      <c r="D41" s="70">
        <v>2452</v>
      </c>
      <c r="E41" s="71">
        <v>100951</v>
      </c>
      <c r="F41" s="71">
        <v>82456</v>
      </c>
      <c r="G41" s="72">
        <v>137066</v>
      </c>
      <c r="H41" s="71">
        <v>76936</v>
      </c>
      <c r="I41" s="72">
        <v>111490</v>
      </c>
      <c r="J41" s="41">
        <v>84357</v>
      </c>
      <c r="L41" s="42">
        <v>1386697.431895172</v>
      </c>
      <c r="M41" s="43">
        <v>52392271.243441299</v>
      </c>
      <c r="N41" s="43">
        <v>34464944.032502107</v>
      </c>
      <c r="O41" s="43">
        <v>43520338.342641778</v>
      </c>
      <c r="P41" s="44">
        <v>25639265.373861518</v>
      </c>
      <c r="Q41" s="43">
        <v>37362600.536193028</v>
      </c>
      <c r="R41" s="45">
        <v>25957996.768982232</v>
      </c>
      <c r="T41"/>
      <c r="U41"/>
      <c r="V41"/>
      <c r="W41"/>
      <c r="X41"/>
      <c r="Y41"/>
      <c r="Z41"/>
    </row>
    <row r="42" spans="2:26" ht="16.5" thickTop="1" thickBot="1" x14ac:dyDescent="0.4">
      <c r="B42" s="21">
        <v>34</v>
      </c>
      <c r="C42" s="82" t="s">
        <v>55</v>
      </c>
      <c r="D42" s="47">
        <v>1165491</v>
      </c>
      <c r="E42" s="48">
        <v>1147264</v>
      </c>
      <c r="F42" s="48">
        <v>863756</v>
      </c>
      <c r="G42" s="48">
        <v>1015699</v>
      </c>
      <c r="H42" s="47">
        <v>958364</v>
      </c>
      <c r="I42" s="48">
        <v>1019465</v>
      </c>
      <c r="J42" s="61">
        <v>1078945</v>
      </c>
      <c r="L42" s="50">
        <v>659128620.14556921</v>
      </c>
      <c r="M42" s="48">
        <v>595415267.56382251</v>
      </c>
      <c r="N42" s="48">
        <v>361032577.34716564</v>
      </c>
      <c r="O42" s="48">
        <v>322498388.61776745</v>
      </c>
      <c r="P42" s="47">
        <v>319379080.28433269</v>
      </c>
      <c r="Q42" s="48">
        <v>341643766.75603217</v>
      </c>
      <c r="R42" s="61">
        <v>332008616.04738826</v>
      </c>
      <c r="T42"/>
      <c r="U42"/>
      <c r="V42"/>
      <c r="W42"/>
      <c r="X42"/>
      <c r="Y42"/>
      <c r="Z42"/>
    </row>
    <row r="43" spans="2:26" ht="5.25" customHeight="1" thickBot="1" x14ac:dyDescent="0.4">
      <c r="C43" s="83"/>
      <c r="D43" s="84"/>
      <c r="E43" s="84"/>
      <c r="F43" s="84"/>
      <c r="G43" s="84"/>
      <c r="H43" s="84"/>
      <c r="I43" s="84"/>
      <c r="J43" s="84"/>
      <c r="L43" s="84"/>
      <c r="M43" s="84"/>
      <c r="N43" s="84"/>
      <c r="O43" s="84"/>
      <c r="P43" s="84"/>
      <c r="Q43" s="84"/>
      <c r="R43" s="84"/>
      <c r="T43"/>
      <c r="U43"/>
      <c r="V43"/>
      <c r="W43"/>
      <c r="X43"/>
      <c r="Y43"/>
      <c r="Z43"/>
    </row>
    <row r="44" spans="2:26" ht="16" thickBot="1" x14ac:dyDescent="0.4">
      <c r="B44" s="21">
        <v>35</v>
      </c>
      <c r="C44" s="76" t="s">
        <v>3</v>
      </c>
      <c r="F44" s="85"/>
      <c r="G44" s="85"/>
      <c r="H44" s="85"/>
      <c r="I44" s="85"/>
      <c r="J44" s="85"/>
      <c r="L44" s="85"/>
      <c r="M44" s="85"/>
      <c r="N44" s="85"/>
      <c r="O44" s="85"/>
      <c r="P44" s="85"/>
      <c r="Q44" s="85"/>
      <c r="R44" s="85"/>
      <c r="T44"/>
      <c r="U44"/>
      <c r="V44"/>
      <c r="W44"/>
      <c r="X44"/>
      <c r="Y44"/>
      <c r="Z44"/>
    </row>
    <row r="45" spans="2:26" x14ac:dyDescent="0.35">
      <c r="B45" s="21">
        <v>36</v>
      </c>
      <c r="C45" s="22" t="s">
        <v>56</v>
      </c>
      <c r="D45" s="86">
        <v>49414</v>
      </c>
      <c r="E45" s="87">
        <v>48023</v>
      </c>
      <c r="F45" s="87">
        <v>66221</v>
      </c>
      <c r="G45" s="88">
        <v>74946</v>
      </c>
      <c r="H45" s="87">
        <v>76163</v>
      </c>
      <c r="I45" s="88">
        <v>67011</v>
      </c>
      <c r="J45" s="89">
        <v>95087</v>
      </c>
      <c r="L45" s="90">
        <v>27945459.583877664</v>
      </c>
      <c r="M45" s="91">
        <v>24923319.649372283</v>
      </c>
      <c r="N45" s="91">
        <v>27679041.655868854</v>
      </c>
      <c r="O45" s="91">
        <v>23796384.788551725</v>
      </c>
      <c r="P45" s="92">
        <v>25381659.67387718</v>
      </c>
      <c r="Q45" s="91">
        <v>22456769.436997321</v>
      </c>
      <c r="R45" s="93">
        <v>29259789.214554965</v>
      </c>
      <c r="T45"/>
      <c r="U45"/>
      <c r="V45"/>
      <c r="W45"/>
      <c r="X45"/>
      <c r="Y45"/>
      <c r="Z45"/>
    </row>
    <row r="46" spans="2:26" x14ac:dyDescent="0.35">
      <c r="B46" s="21">
        <v>37</v>
      </c>
      <c r="C46" s="30" t="s">
        <v>57</v>
      </c>
      <c r="D46" s="94">
        <v>50600</v>
      </c>
      <c r="E46" s="95">
        <v>36900</v>
      </c>
      <c r="F46" s="95">
        <v>24451</v>
      </c>
      <c r="G46" s="96">
        <v>28046</v>
      </c>
      <c r="H46" s="95">
        <v>57150</v>
      </c>
      <c r="I46" s="96">
        <v>71014</v>
      </c>
      <c r="J46" s="97">
        <v>71076</v>
      </c>
      <c r="L46" s="98">
        <v>28616186.808277201</v>
      </c>
      <c r="M46" s="99">
        <v>19150625.639002923</v>
      </c>
      <c r="N46" s="99">
        <v>10220024.577213412</v>
      </c>
      <c r="O46" s="99">
        <v>8904990.3634579796</v>
      </c>
      <c r="P46" s="100">
        <v>19045492.566759203</v>
      </c>
      <c r="Q46" s="99">
        <v>23798257.372654155</v>
      </c>
      <c r="R46" s="101">
        <v>21871220.863143317</v>
      </c>
      <c r="T46"/>
      <c r="U46"/>
      <c r="V46"/>
      <c r="W46"/>
      <c r="X46"/>
      <c r="Y46"/>
      <c r="Z46"/>
    </row>
    <row r="47" spans="2:26" x14ac:dyDescent="0.35">
      <c r="B47" s="21">
        <v>38</v>
      </c>
      <c r="C47" s="30" t="s">
        <v>58</v>
      </c>
      <c r="D47" s="94"/>
      <c r="E47" s="95"/>
      <c r="F47" s="95"/>
      <c r="G47" s="96"/>
      <c r="H47" s="95"/>
      <c r="I47" s="96"/>
      <c r="J47" s="97">
        <v>125485</v>
      </c>
      <c r="L47" s="98">
        <v>0</v>
      </c>
      <c r="M47" s="99">
        <v>0</v>
      </c>
      <c r="N47" s="99">
        <v>0</v>
      </c>
      <c r="O47" s="99">
        <v>0</v>
      </c>
      <c r="P47" s="100">
        <v>0</v>
      </c>
      <c r="Q47" s="99">
        <v>0</v>
      </c>
      <c r="R47" s="101">
        <v>38613739.518424496</v>
      </c>
      <c r="T47"/>
      <c r="U47"/>
      <c r="V47"/>
      <c r="W47"/>
      <c r="X47"/>
      <c r="Y47"/>
      <c r="Z47"/>
    </row>
    <row r="48" spans="2:26" x14ac:dyDescent="0.35">
      <c r="B48" s="21">
        <v>39</v>
      </c>
      <c r="C48" s="30" t="s">
        <v>59</v>
      </c>
      <c r="D48" s="94"/>
      <c r="E48" s="95"/>
      <c r="F48" s="95"/>
      <c r="G48" s="96"/>
      <c r="H48" s="95"/>
      <c r="I48" s="96"/>
      <c r="J48" s="97"/>
      <c r="L48" s="98">
        <v>0</v>
      </c>
      <c r="M48" s="99">
        <v>0</v>
      </c>
      <c r="N48" s="99">
        <v>0</v>
      </c>
      <c r="O48" s="99">
        <v>0</v>
      </c>
      <c r="P48" s="100">
        <v>0</v>
      </c>
      <c r="Q48" s="99">
        <v>0</v>
      </c>
      <c r="R48" s="101">
        <v>0</v>
      </c>
      <c r="T48"/>
      <c r="U48"/>
      <c r="V48"/>
      <c r="W48"/>
      <c r="X48"/>
      <c r="Y48"/>
      <c r="Z48"/>
    </row>
    <row r="49" spans="2:26" x14ac:dyDescent="0.35">
      <c r="B49" s="21">
        <v>40</v>
      </c>
      <c r="C49" s="30" t="s">
        <v>60</v>
      </c>
      <c r="D49" s="94">
        <v>6751</v>
      </c>
      <c r="E49" s="95">
        <v>7501</v>
      </c>
      <c r="F49" s="95">
        <v>7501</v>
      </c>
      <c r="G49" s="96">
        <v>9150</v>
      </c>
      <c r="H49" s="95">
        <v>79098</v>
      </c>
      <c r="I49" s="96">
        <v>34298</v>
      </c>
      <c r="J49" s="97">
        <v>67021</v>
      </c>
      <c r="L49" s="98">
        <v>3817942.236021332</v>
      </c>
      <c r="M49" s="99">
        <v>3892922.5723078842</v>
      </c>
      <c r="N49" s="99">
        <v>3135266.6293271356</v>
      </c>
      <c r="O49" s="99">
        <v>2905250.7247251123</v>
      </c>
      <c r="P49" s="100">
        <v>26359761.523106199</v>
      </c>
      <c r="Q49" s="99">
        <v>11493967.828418231</v>
      </c>
      <c r="R49" s="101">
        <v>20623432.571736287</v>
      </c>
      <c r="T49"/>
      <c r="U49"/>
      <c r="V49"/>
      <c r="W49"/>
      <c r="X49"/>
      <c r="Y49"/>
      <c r="Z49"/>
    </row>
    <row r="50" spans="2:26" ht="16" thickBot="1" x14ac:dyDescent="0.4">
      <c r="B50" s="21">
        <v>41</v>
      </c>
      <c r="C50" s="38" t="s">
        <v>61</v>
      </c>
      <c r="D50" s="102">
        <v>169863</v>
      </c>
      <c r="E50" s="103">
        <v>166741</v>
      </c>
      <c r="F50" s="103">
        <v>130825</v>
      </c>
      <c r="G50" s="104">
        <v>184983</v>
      </c>
      <c r="H50" s="103">
        <v>181023</v>
      </c>
      <c r="I50" s="104">
        <v>212236</v>
      </c>
      <c r="J50" s="105">
        <v>234924</v>
      </c>
      <c r="L50" s="106">
        <v>96063860.470640138</v>
      </c>
      <c r="M50" s="107">
        <v>86536435.492492855</v>
      </c>
      <c r="N50" s="107">
        <v>54682209.942903951</v>
      </c>
      <c r="O50" s="107">
        <v>58734644.241729565</v>
      </c>
      <c r="P50" s="108">
        <v>60326722.67563343</v>
      </c>
      <c r="Q50" s="107">
        <v>71124664.879356578</v>
      </c>
      <c r="R50" s="109">
        <v>72289868.451419339</v>
      </c>
      <c r="T50"/>
      <c r="U50"/>
      <c r="V50"/>
      <c r="W50"/>
      <c r="X50"/>
      <c r="Y50"/>
      <c r="Z50"/>
    </row>
    <row r="51" spans="2:26" ht="16.5" thickTop="1" thickBot="1" x14ac:dyDescent="0.4">
      <c r="B51" s="21">
        <v>42</v>
      </c>
      <c r="C51" s="82" t="s">
        <v>62</v>
      </c>
      <c r="D51" s="47">
        <v>276628</v>
      </c>
      <c r="E51" s="48">
        <v>259165</v>
      </c>
      <c r="F51" s="48">
        <v>228998</v>
      </c>
      <c r="G51" s="48">
        <v>297125</v>
      </c>
      <c r="H51" s="47">
        <v>393434</v>
      </c>
      <c r="I51" s="48">
        <v>384559</v>
      </c>
      <c r="J51" s="61">
        <v>593593</v>
      </c>
      <c r="L51" s="50">
        <v>156443449.09881634</v>
      </c>
      <c r="M51" s="48">
        <v>134503303.35317594</v>
      </c>
      <c r="N51" s="48">
        <v>95716542.805313349</v>
      </c>
      <c r="O51" s="48">
        <v>94341270.118464381</v>
      </c>
      <c r="P51" s="47">
        <v>131113636.43937603</v>
      </c>
      <c r="Q51" s="48">
        <v>128873659.51742627</v>
      </c>
      <c r="R51" s="61">
        <v>182658050.6192784</v>
      </c>
      <c r="T51"/>
      <c r="U51"/>
      <c r="V51"/>
      <c r="W51"/>
      <c r="X51"/>
      <c r="Y51"/>
      <c r="Z51"/>
    </row>
    <row r="52" spans="2:26" x14ac:dyDescent="0.35">
      <c r="B52" s="21">
        <v>43</v>
      </c>
      <c r="C52" s="22" t="s">
        <v>63</v>
      </c>
      <c r="D52" s="86">
        <v>352269</v>
      </c>
      <c r="E52" s="87">
        <v>408744</v>
      </c>
      <c r="F52" s="87">
        <v>439872</v>
      </c>
      <c r="G52" s="88">
        <v>509136</v>
      </c>
      <c r="H52" s="87">
        <v>454221</v>
      </c>
      <c r="I52" s="88">
        <v>442398</v>
      </c>
      <c r="J52" s="89">
        <v>288208</v>
      </c>
      <c r="L52" s="90">
        <v>199221255.15345854</v>
      </c>
      <c r="M52" s="91">
        <v>212132881.46852604</v>
      </c>
      <c r="N52" s="91">
        <v>183857619.35413757</v>
      </c>
      <c r="O52" s="91">
        <v>161657675.73591748</v>
      </c>
      <c r="P52" s="92">
        <v>151371175.48846772</v>
      </c>
      <c r="Q52" s="91">
        <v>148256702.41286865</v>
      </c>
      <c r="R52" s="93">
        <v>88686206.631279334</v>
      </c>
      <c r="T52"/>
      <c r="U52"/>
      <c r="V52"/>
      <c r="W52"/>
      <c r="X52"/>
      <c r="Y52"/>
      <c r="Z52"/>
    </row>
    <row r="53" spans="2:26" ht="16" thickBot="1" x14ac:dyDescent="0.4">
      <c r="B53" s="21">
        <v>44</v>
      </c>
      <c r="C53" s="38" t="s">
        <v>64</v>
      </c>
      <c r="D53" s="102">
        <v>840</v>
      </c>
      <c r="E53" s="103">
        <v>7690</v>
      </c>
      <c r="F53" s="103">
        <v>37146</v>
      </c>
      <c r="G53" s="104">
        <v>36479</v>
      </c>
      <c r="H53" s="103">
        <v>48972</v>
      </c>
      <c r="I53" s="104">
        <v>47725</v>
      </c>
      <c r="J53" s="105">
        <v>32734</v>
      </c>
      <c r="L53" s="106">
        <v>475051.32250894961</v>
      </c>
      <c r="M53" s="107">
        <v>3991011.1426539966</v>
      </c>
      <c r="N53" s="107">
        <v>15526278.391279269</v>
      </c>
      <c r="O53" s="107">
        <v>11582583.73631119</v>
      </c>
      <c r="P53" s="108">
        <v>16320137.567442372</v>
      </c>
      <c r="Q53" s="107">
        <v>15993632.707774799</v>
      </c>
      <c r="R53" s="109">
        <v>10072774.828832988</v>
      </c>
      <c r="T53"/>
      <c r="U53"/>
      <c r="V53"/>
      <c r="W53"/>
      <c r="X53"/>
      <c r="Y53"/>
      <c r="Z53"/>
    </row>
    <row r="54" spans="2:26" ht="16.5" thickTop="1" thickBot="1" x14ac:dyDescent="0.4">
      <c r="B54" s="21">
        <v>45</v>
      </c>
      <c r="C54" s="110" t="s">
        <v>65</v>
      </c>
      <c r="D54" s="111">
        <v>353109</v>
      </c>
      <c r="E54" s="112">
        <v>416434</v>
      </c>
      <c r="F54" s="112">
        <v>477018</v>
      </c>
      <c r="G54" s="112">
        <v>545615</v>
      </c>
      <c r="H54" s="111">
        <v>503193</v>
      </c>
      <c r="I54" s="112">
        <v>490123</v>
      </c>
      <c r="J54" s="113">
        <v>320942</v>
      </c>
      <c r="L54" s="114">
        <v>199696306.4759675</v>
      </c>
      <c r="M54" s="112">
        <v>216123892.61118004</v>
      </c>
      <c r="N54" s="112">
        <v>199383897.74541685</v>
      </c>
      <c r="O54" s="112">
        <v>173240259.47222868</v>
      </c>
      <c r="P54" s="111">
        <v>167691313.05591008</v>
      </c>
      <c r="Q54" s="112">
        <v>164250335.12064344</v>
      </c>
      <c r="R54" s="113">
        <v>98758981.460112303</v>
      </c>
      <c r="T54"/>
      <c r="U54"/>
      <c r="V54"/>
      <c r="W54"/>
      <c r="X54"/>
      <c r="Y54"/>
      <c r="Z54"/>
    </row>
    <row r="55" spans="2:26" ht="16.5" thickTop="1" thickBot="1" x14ac:dyDescent="0.4">
      <c r="B55" s="21">
        <v>46</v>
      </c>
      <c r="C55" s="82" t="s">
        <v>66</v>
      </c>
      <c r="D55" s="47">
        <v>629737</v>
      </c>
      <c r="E55" s="48">
        <v>675599</v>
      </c>
      <c r="F55" s="48">
        <v>706016</v>
      </c>
      <c r="G55" s="48">
        <v>842740</v>
      </c>
      <c r="H55" s="47">
        <v>896627</v>
      </c>
      <c r="I55" s="48">
        <v>874682</v>
      </c>
      <c r="J55" s="61">
        <v>914535</v>
      </c>
      <c r="L55" s="50">
        <v>356139755.5747838</v>
      </c>
      <c r="M55" s="48">
        <v>350627195.96435595</v>
      </c>
      <c r="N55" s="48">
        <v>295100440.55073017</v>
      </c>
      <c r="O55" s="48">
        <v>267581529.59069303</v>
      </c>
      <c r="P55" s="47">
        <v>298804949.49528611</v>
      </c>
      <c r="Q55" s="48">
        <v>293123994.63806969</v>
      </c>
      <c r="R55" s="61">
        <v>281417032.0793907</v>
      </c>
      <c r="T55"/>
      <c r="U55"/>
      <c r="V55"/>
      <c r="W55"/>
      <c r="X55"/>
      <c r="Y55"/>
      <c r="Z55"/>
    </row>
    <row r="56" spans="2:26" ht="5.25" customHeight="1" thickBot="1" x14ac:dyDescent="0.4">
      <c r="C56" s="115"/>
      <c r="D56" s="116"/>
      <c r="E56" s="116"/>
      <c r="F56" s="116"/>
      <c r="G56" s="116"/>
      <c r="H56" s="116"/>
      <c r="I56" s="116"/>
      <c r="J56" s="116"/>
      <c r="L56" s="116"/>
      <c r="M56" s="116"/>
      <c r="N56" s="116"/>
      <c r="O56" s="116"/>
      <c r="P56" s="116"/>
      <c r="Q56" s="116"/>
      <c r="R56" s="116"/>
      <c r="T56"/>
      <c r="U56"/>
      <c r="V56"/>
      <c r="W56"/>
      <c r="X56"/>
      <c r="Y56"/>
      <c r="Z56"/>
    </row>
    <row r="57" spans="2:26" ht="16" thickBot="1" x14ac:dyDescent="0.4">
      <c r="B57" s="21">
        <v>47</v>
      </c>
      <c r="C57" s="76" t="s">
        <v>4</v>
      </c>
      <c r="F57" s="77"/>
      <c r="G57" s="77"/>
      <c r="H57" s="77"/>
      <c r="I57" s="77"/>
      <c r="J57" s="77"/>
      <c r="L57" s="77"/>
      <c r="M57" s="77"/>
      <c r="N57" s="77"/>
      <c r="O57" s="77"/>
      <c r="P57" s="77"/>
      <c r="Q57" s="77"/>
      <c r="R57" s="77"/>
      <c r="T57"/>
      <c r="U57"/>
      <c r="V57"/>
      <c r="W57"/>
      <c r="X57"/>
      <c r="Y57"/>
      <c r="Z57"/>
    </row>
    <row r="58" spans="2:26" x14ac:dyDescent="0.35">
      <c r="B58" s="21">
        <v>48</v>
      </c>
      <c r="C58" s="22" t="s">
        <v>67</v>
      </c>
      <c r="D58" s="86">
        <v>15656</v>
      </c>
      <c r="E58" s="87">
        <v>15656</v>
      </c>
      <c r="F58" s="87">
        <v>15656</v>
      </c>
      <c r="G58" s="88">
        <v>15659</v>
      </c>
      <c r="H58" s="87">
        <v>15659</v>
      </c>
      <c r="I58" s="88">
        <v>15659</v>
      </c>
      <c r="J58" s="89">
        <v>15659</v>
      </c>
      <c r="L58" s="90">
        <v>8854051.7919048984</v>
      </c>
      <c r="M58" s="91">
        <v>8125262.7372419983</v>
      </c>
      <c r="N58" s="91">
        <v>6543892.0608913004</v>
      </c>
      <c r="O58" s="91">
        <v>4971947.6610350311</v>
      </c>
      <c r="P58" s="92">
        <v>5218431.637845709</v>
      </c>
      <c r="Q58" s="91">
        <v>5247654.1554959789</v>
      </c>
      <c r="R58" s="93">
        <v>4818524.5018847603</v>
      </c>
      <c r="T58"/>
      <c r="U58"/>
      <c r="V58"/>
      <c r="W58"/>
      <c r="X58"/>
      <c r="Y58"/>
      <c r="Z58"/>
    </row>
    <row r="59" spans="2:26" x14ac:dyDescent="0.35">
      <c r="B59" s="21">
        <v>49</v>
      </c>
      <c r="C59" s="30" t="s">
        <v>68</v>
      </c>
      <c r="D59" s="94">
        <v>24585</v>
      </c>
      <c r="E59" s="95">
        <v>22661</v>
      </c>
      <c r="F59" s="95">
        <v>43305</v>
      </c>
      <c r="G59" s="96">
        <v>43389</v>
      </c>
      <c r="H59" s="95">
        <v>43389</v>
      </c>
      <c r="I59" s="96">
        <v>43389</v>
      </c>
      <c r="J59" s="97">
        <v>43389</v>
      </c>
      <c r="L59" s="98">
        <v>13903734.242717294</v>
      </c>
      <c r="M59" s="99">
        <v>11760767.685784424</v>
      </c>
      <c r="N59" s="99">
        <v>18100616.102254584</v>
      </c>
      <c r="O59" s="99">
        <v>13776603.682524363</v>
      </c>
      <c r="P59" s="100">
        <v>14459577.899897024</v>
      </c>
      <c r="Q59" s="99">
        <v>14540549.597855227</v>
      </c>
      <c r="R59" s="101">
        <v>13351488.57604431</v>
      </c>
      <c r="T59"/>
      <c r="U59"/>
      <c r="V59"/>
      <c r="W59"/>
      <c r="X59"/>
      <c r="Y59"/>
      <c r="Z59"/>
    </row>
    <row r="60" spans="2:26" x14ac:dyDescent="0.35">
      <c r="B60" s="21">
        <v>50</v>
      </c>
      <c r="C60" s="30" t="s">
        <v>69</v>
      </c>
      <c r="D60" s="94">
        <v>444808</v>
      </c>
      <c r="E60" s="95">
        <v>376549</v>
      </c>
      <c r="F60" s="95">
        <v>48008</v>
      </c>
      <c r="G60" s="96">
        <v>21281</v>
      </c>
      <c r="H60" s="95">
        <v>21821</v>
      </c>
      <c r="I60" s="96">
        <v>22573</v>
      </c>
      <c r="J60" s="97">
        <v>-36139</v>
      </c>
      <c r="L60" s="98">
        <v>251555510.31257248</v>
      </c>
      <c r="M60" s="99">
        <v>195424090.34528217</v>
      </c>
      <c r="N60" s="99">
        <v>20066375.195405565</v>
      </c>
      <c r="O60" s="99">
        <v>6757009.9096038388</v>
      </c>
      <c r="P60" s="100">
        <v>7271945.6395319775</v>
      </c>
      <c r="Q60" s="99">
        <v>7564678.2841823064</v>
      </c>
      <c r="R60" s="101">
        <v>-11120547.734441111</v>
      </c>
      <c r="T60"/>
      <c r="U60"/>
      <c r="V60"/>
      <c r="W60"/>
      <c r="X60"/>
      <c r="Y60"/>
      <c r="Z60"/>
    </row>
    <row r="61" spans="2:26" x14ac:dyDescent="0.35">
      <c r="B61" s="21">
        <v>51</v>
      </c>
      <c r="C61" s="30" t="s">
        <v>70</v>
      </c>
      <c r="D61" s="94">
        <v>17122</v>
      </c>
      <c r="E61" s="95">
        <v>20702</v>
      </c>
      <c r="F61" s="95">
        <v>24563</v>
      </c>
      <c r="G61" s="96">
        <v>28500</v>
      </c>
      <c r="H61" s="95">
        <v>-93402</v>
      </c>
      <c r="I61" s="96">
        <v>-18743</v>
      </c>
      <c r="J61" s="97">
        <v>48499</v>
      </c>
      <c r="L61" s="98">
        <v>9683129.4571407568</v>
      </c>
      <c r="M61" s="99">
        <v>10744071.869339796</v>
      </c>
      <c r="N61" s="99">
        <v>10266838.317046054</v>
      </c>
      <c r="O61" s="99">
        <v>9049141.6016028114</v>
      </c>
      <c r="P61" s="100">
        <v>-31126633.363437321</v>
      </c>
      <c r="Q61" s="99">
        <v>-6281166.2198391426</v>
      </c>
      <c r="R61" s="101">
        <v>14923917.224401878</v>
      </c>
      <c r="T61"/>
      <c r="U61"/>
      <c r="V61"/>
      <c r="W61"/>
      <c r="X61"/>
      <c r="Y61"/>
      <c r="Z61"/>
    </row>
    <row r="62" spans="2:26" ht="16" thickBot="1" x14ac:dyDescent="0.4">
      <c r="B62" s="21">
        <v>52</v>
      </c>
      <c r="C62" s="38" t="s">
        <v>30</v>
      </c>
      <c r="D62" s="102">
        <v>33583</v>
      </c>
      <c r="E62" s="103">
        <v>36097</v>
      </c>
      <c r="F62" s="103">
        <v>26208</v>
      </c>
      <c r="G62" s="104">
        <v>64130</v>
      </c>
      <c r="H62" s="103">
        <v>74270</v>
      </c>
      <c r="I62" s="104">
        <v>81905</v>
      </c>
      <c r="J62" s="105">
        <v>93002</v>
      </c>
      <c r="L62" s="106">
        <v>18992438.766450062</v>
      </c>
      <c r="M62" s="107">
        <v>18733878.961818118</v>
      </c>
      <c r="N62" s="107">
        <v>10954415.120837966</v>
      </c>
      <c r="O62" s="107">
        <v>20362156.172308356</v>
      </c>
      <c r="P62" s="108">
        <v>24750808.975209199</v>
      </c>
      <c r="Q62" s="107">
        <v>27448056.300268095</v>
      </c>
      <c r="R62" s="109">
        <v>28618201.4001077</v>
      </c>
      <c r="T62"/>
      <c r="U62"/>
      <c r="V62"/>
      <c r="W62"/>
      <c r="X62"/>
      <c r="Y62"/>
      <c r="Z62"/>
    </row>
    <row r="63" spans="2:26" ht="16.5" thickTop="1" thickBot="1" x14ac:dyDescent="0.4">
      <c r="B63" s="21">
        <v>53</v>
      </c>
      <c r="C63" s="82" t="s">
        <v>71</v>
      </c>
      <c r="D63" s="47">
        <v>535754</v>
      </c>
      <c r="E63" s="48">
        <v>471665</v>
      </c>
      <c r="F63" s="48">
        <v>157740</v>
      </c>
      <c r="G63" s="48">
        <v>172959</v>
      </c>
      <c r="H63" s="47">
        <v>61737</v>
      </c>
      <c r="I63" s="48">
        <v>144783</v>
      </c>
      <c r="J63" s="61">
        <v>164410</v>
      </c>
      <c r="L63" s="50">
        <v>302988864.57078552</v>
      </c>
      <c r="M63" s="48">
        <v>244788071.5994665</v>
      </c>
      <c r="N63" s="48">
        <v>65932136.796435475</v>
      </c>
      <c r="O63" s="48">
        <v>54916859.027074404</v>
      </c>
      <c r="P63" s="47">
        <v>20574130.789046593</v>
      </c>
      <c r="Q63" s="48">
        <v>48519772.117962465</v>
      </c>
      <c r="R63" s="61">
        <v>50591583.967997536</v>
      </c>
      <c r="T63"/>
      <c r="U63"/>
      <c r="V63"/>
      <c r="W63"/>
      <c r="X63"/>
      <c r="Y63"/>
      <c r="Z63"/>
    </row>
    <row r="64" spans="2:26" ht="5.25" customHeight="1" thickBot="1" x14ac:dyDescent="0.4">
      <c r="C64" s="117"/>
      <c r="D64" s="118"/>
      <c r="E64" s="118"/>
      <c r="F64" s="118"/>
      <c r="G64" s="118"/>
      <c r="H64" s="118"/>
      <c r="I64" s="118"/>
      <c r="J64" s="118"/>
      <c r="L64" s="118"/>
      <c r="M64" s="118"/>
      <c r="N64" s="118"/>
      <c r="O64" s="118"/>
      <c r="P64" s="118"/>
      <c r="Q64" s="118"/>
      <c r="R64" s="118"/>
      <c r="T64"/>
      <c r="U64"/>
      <c r="V64"/>
      <c r="W64"/>
      <c r="X64"/>
      <c r="Y64"/>
      <c r="Z64"/>
    </row>
    <row r="65" spans="2:26" ht="16" thickBot="1" x14ac:dyDescent="0.4">
      <c r="B65" s="119">
        <v>54</v>
      </c>
      <c r="C65" s="120" t="s">
        <v>72</v>
      </c>
      <c r="D65" s="121">
        <v>1165491</v>
      </c>
      <c r="E65" s="122">
        <v>1147264</v>
      </c>
      <c r="F65" s="122">
        <v>863756</v>
      </c>
      <c r="G65" s="122">
        <v>1015699</v>
      </c>
      <c r="H65" s="121">
        <v>958364</v>
      </c>
      <c r="I65" s="122">
        <v>1019465</v>
      </c>
      <c r="J65" s="123">
        <v>1078945</v>
      </c>
      <c r="L65" s="124">
        <v>659128620.14556921</v>
      </c>
      <c r="M65" s="122">
        <v>595415267.56382251</v>
      </c>
      <c r="N65" s="122">
        <v>361032577.34716564</v>
      </c>
      <c r="O65" s="122">
        <v>322498388.61776745</v>
      </c>
      <c r="P65" s="121">
        <v>319379080.28433269</v>
      </c>
      <c r="Q65" s="122">
        <v>341643766.75603217</v>
      </c>
      <c r="R65" s="123">
        <v>332008616.04738826</v>
      </c>
      <c r="T65"/>
      <c r="U65"/>
      <c r="V65"/>
      <c r="W65"/>
      <c r="X65"/>
      <c r="Y65"/>
      <c r="Z65"/>
    </row>
    <row r="66" spans="2:26" ht="5.25" customHeight="1" thickBot="1" x14ac:dyDescent="0.4">
      <c r="F66" s="4"/>
      <c r="G66" s="4"/>
      <c r="H66" s="4"/>
      <c r="T66"/>
      <c r="U66"/>
      <c r="V66"/>
      <c r="W66"/>
      <c r="X66"/>
      <c r="Y66"/>
      <c r="Z66"/>
    </row>
    <row r="67" spans="2:26" ht="16" thickBot="1" x14ac:dyDescent="0.4">
      <c r="B67" s="21">
        <v>55</v>
      </c>
      <c r="C67" s="125" t="s">
        <v>73</v>
      </c>
      <c r="F67" s="126"/>
      <c r="G67" s="4"/>
      <c r="H67" s="4"/>
      <c r="J67" s="126"/>
      <c r="R67" s="126"/>
      <c r="T67"/>
      <c r="U67"/>
      <c r="V67"/>
      <c r="W67"/>
      <c r="X67"/>
      <c r="Y67"/>
      <c r="Z67"/>
    </row>
    <row r="68" spans="2:26" x14ac:dyDescent="0.35">
      <c r="B68" s="21">
        <v>56</v>
      </c>
      <c r="C68" s="22" t="s">
        <v>74</v>
      </c>
      <c r="E68" s="127">
        <v>2463</v>
      </c>
      <c r="F68" s="128">
        <v>0</v>
      </c>
      <c r="G68" s="128">
        <v>2424</v>
      </c>
      <c r="H68" s="129">
        <v>2141</v>
      </c>
      <c r="I68" s="128">
        <v>1141</v>
      </c>
      <c r="J68" s="89">
        <v>7390</v>
      </c>
      <c r="M68" s="130">
        <v>1278265.3373675933</v>
      </c>
      <c r="N68" s="91">
        <v>0</v>
      </c>
      <c r="O68" s="91">
        <v>769653.30674684956</v>
      </c>
      <c r="P68" s="92">
        <v>713497.80551936035</v>
      </c>
      <c r="Q68" s="91">
        <v>382372.65415549598</v>
      </c>
      <c r="R68" s="93">
        <v>2274021.0785445035</v>
      </c>
      <c r="T68"/>
      <c r="U68"/>
      <c r="V68"/>
      <c r="W68"/>
      <c r="X68"/>
      <c r="Y68"/>
      <c r="Z68"/>
    </row>
    <row r="69" spans="2:26" x14ac:dyDescent="0.35">
      <c r="B69" s="21">
        <v>57</v>
      </c>
      <c r="C69" s="131" t="s">
        <v>75</v>
      </c>
      <c r="E69" s="132">
        <v>22464</v>
      </c>
      <c r="F69" s="133">
        <v>31617</v>
      </c>
      <c r="G69" s="133">
        <v>66909</v>
      </c>
      <c r="H69" s="134">
        <v>51425</v>
      </c>
      <c r="I69" s="133">
        <v>102665</v>
      </c>
      <c r="J69" s="135">
        <v>32670</v>
      </c>
      <c r="M69" s="136">
        <v>11658527.218280805</v>
      </c>
      <c r="N69" s="137">
        <v>13215267.966862561</v>
      </c>
      <c r="O69" s="137">
        <v>21244526.856899731</v>
      </c>
      <c r="P69" s="138">
        <v>17137610.765452176</v>
      </c>
      <c r="Q69" s="137">
        <v>34405160.857908845</v>
      </c>
      <c r="R69" s="139">
        <v>10053081.006231248</v>
      </c>
      <c r="T69"/>
      <c r="U69"/>
      <c r="V69"/>
      <c r="W69"/>
      <c r="X69"/>
      <c r="Y69"/>
      <c r="Z69"/>
    </row>
    <row r="70" spans="2:26" ht="16" thickBot="1" x14ac:dyDescent="0.4">
      <c r="B70" s="21">
        <v>58</v>
      </c>
      <c r="C70" s="140" t="s">
        <v>76</v>
      </c>
      <c r="E70" s="141">
        <v>30003</v>
      </c>
      <c r="F70" s="142">
        <v>30003</v>
      </c>
      <c r="G70" s="142">
        <v>36600</v>
      </c>
      <c r="H70" s="143">
        <v>40650</v>
      </c>
      <c r="I70" s="142">
        <v>44799</v>
      </c>
      <c r="J70" s="144">
        <v>48043</v>
      </c>
      <c r="M70" s="145">
        <v>15571171.302086847</v>
      </c>
      <c r="N70" s="146">
        <v>12540648.53748861</v>
      </c>
      <c r="O70" s="146">
        <v>11621002.898900449</v>
      </c>
      <c r="P70" s="147">
        <v>13546793.925437646</v>
      </c>
      <c r="Q70" s="146">
        <v>15013069.705093835</v>
      </c>
      <c r="R70" s="148">
        <v>14783598.73836449</v>
      </c>
      <c r="T70"/>
      <c r="U70"/>
      <c r="V70"/>
      <c r="W70"/>
      <c r="X70"/>
      <c r="Y70"/>
      <c r="Z70"/>
    </row>
    <row r="71" spans="2:26" ht="5" customHeight="1" x14ac:dyDescent="0.35">
      <c r="C71" s="149"/>
      <c r="P71" s="150"/>
      <c r="Q71" s="150"/>
      <c r="R71" s="150"/>
      <c r="X71" s="150"/>
      <c r="Y71" s="150"/>
      <c r="Z71" s="150"/>
    </row>
    <row r="72" spans="2:26" x14ac:dyDescent="0.35">
      <c r="B72" s="21">
        <v>59</v>
      </c>
      <c r="C72" s="4" t="s">
        <v>77</v>
      </c>
      <c r="D72" s="151">
        <v>34</v>
      </c>
      <c r="E72" s="152"/>
      <c r="F72" s="152"/>
      <c r="G72" s="152"/>
      <c r="H72" s="152"/>
      <c r="I72" s="153"/>
      <c r="J72" s="153"/>
      <c r="N72" s="154"/>
      <c r="O72" s="154"/>
      <c r="P72" s="154"/>
      <c r="Q72" s="154"/>
      <c r="R72" s="154"/>
      <c r="V72" s="154"/>
      <c r="W72" s="154"/>
      <c r="X72" s="154"/>
      <c r="Y72" s="154"/>
      <c r="Z72" s="154"/>
    </row>
    <row r="73" spans="2:26" x14ac:dyDescent="0.35">
      <c r="B73" s="21">
        <v>60</v>
      </c>
      <c r="D73" s="151"/>
      <c r="E73" s="152"/>
      <c r="F73" s="152"/>
      <c r="G73" s="152"/>
      <c r="H73" s="152"/>
      <c r="I73" s="153"/>
      <c r="J73" s="153"/>
      <c r="N73" s="154"/>
      <c r="O73" s="154"/>
      <c r="P73" s="154"/>
      <c r="Q73" s="154"/>
      <c r="R73" s="154"/>
      <c r="V73" s="154"/>
      <c r="W73" s="154"/>
      <c r="X73" s="154"/>
      <c r="Y73" s="154"/>
      <c r="Z73" s="154"/>
    </row>
    <row r="74" spans="2:26" x14ac:dyDescent="0.35">
      <c r="B74" s="21">
        <v>61</v>
      </c>
      <c r="C74" s="4" t="s">
        <v>78</v>
      </c>
      <c r="D74" s="152"/>
      <c r="E74" s="152"/>
      <c r="F74" s="152"/>
      <c r="G74" s="152"/>
      <c r="H74" s="152"/>
      <c r="I74" s="153"/>
      <c r="J74" s="153"/>
      <c r="N74" s="154"/>
      <c r="O74" s="154"/>
      <c r="P74" s="154"/>
      <c r="Q74" s="154"/>
      <c r="R74" s="154"/>
      <c r="V74" s="154"/>
      <c r="W74" s="154"/>
      <c r="X74" s="154"/>
      <c r="Y74" s="154"/>
      <c r="Z74" s="154"/>
    </row>
    <row r="75" spans="2:26" x14ac:dyDescent="0.35">
      <c r="B75" s="21">
        <v>62</v>
      </c>
      <c r="C75" s="4" t="s">
        <v>79</v>
      </c>
      <c r="D75" s="152"/>
      <c r="E75" s="152"/>
      <c r="F75" s="152"/>
      <c r="G75" s="152"/>
      <c r="H75" s="152"/>
      <c r="I75" s="153"/>
      <c r="J75" s="153"/>
      <c r="P75" s="126"/>
      <c r="Q75" s="126"/>
      <c r="R75" s="126"/>
      <c r="X75" s="126"/>
      <c r="Y75" s="126"/>
      <c r="Z75" s="126"/>
    </row>
    <row r="76" spans="2:26" x14ac:dyDescent="0.35">
      <c r="B76" s="21">
        <v>63</v>
      </c>
      <c r="C76" s="4" t="s">
        <v>80</v>
      </c>
      <c r="D76" s="152"/>
      <c r="E76" s="152"/>
      <c r="F76" s="152"/>
      <c r="G76" s="152"/>
      <c r="H76" s="152"/>
      <c r="I76" s="153"/>
      <c r="J76" s="153"/>
      <c r="P76" s="126"/>
      <c r="Q76" s="126"/>
      <c r="R76" s="126"/>
      <c r="X76" s="126"/>
      <c r="Y76" s="126"/>
      <c r="Z76" s="126"/>
    </row>
    <row r="77" spans="2:26" x14ac:dyDescent="0.35">
      <c r="B77" s="21">
        <v>64</v>
      </c>
      <c r="C77" s="4" t="s">
        <v>81</v>
      </c>
      <c r="D77" s="152"/>
      <c r="E77" s="152"/>
      <c r="F77" s="152"/>
      <c r="G77" s="152"/>
      <c r="H77" s="152"/>
      <c r="I77" s="153"/>
      <c r="J77" s="153"/>
    </row>
    <row r="78" spans="2:26" x14ac:dyDescent="0.35">
      <c r="B78" s="21">
        <v>65</v>
      </c>
      <c r="C78" s="4" t="s">
        <v>82</v>
      </c>
      <c r="D78" s="152"/>
      <c r="E78" s="152"/>
      <c r="F78" s="152"/>
      <c r="G78" s="152"/>
      <c r="H78" s="152"/>
      <c r="I78" s="153"/>
      <c r="J78" s="153"/>
    </row>
    <row r="79" spans="2:26" x14ac:dyDescent="0.35">
      <c r="B79" s="21">
        <v>66</v>
      </c>
      <c r="C79" s="4" t="s">
        <v>83</v>
      </c>
      <c r="D79" s="152"/>
      <c r="E79" s="152"/>
      <c r="F79" s="152"/>
      <c r="G79" s="152"/>
      <c r="H79" s="152"/>
      <c r="I79" s="153"/>
      <c r="J79" s="153"/>
    </row>
    <row r="80" spans="2:26" x14ac:dyDescent="0.35">
      <c r="B80" s="21">
        <v>67</v>
      </c>
      <c r="C80" s="4" t="s">
        <v>84</v>
      </c>
    </row>
    <row r="81" spans="2:3" x14ac:dyDescent="0.35">
      <c r="B81" s="21">
        <v>68</v>
      </c>
      <c r="C81" s="4" t="s">
        <v>85</v>
      </c>
    </row>
    <row r="82" spans="2:3" x14ac:dyDescent="0.35">
      <c r="B82" s="21">
        <v>69</v>
      </c>
      <c r="C82" s="4" t="s">
        <v>86</v>
      </c>
    </row>
    <row r="83" spans="2:3" x14ac:dyDescent="0.35">
      <c r="B83" s="21">
        <v>70</v>
      </c>
      <c r="C83" s="4" t="s">
        <v>87</v>
      </c>
    </row>
    <row r="84" spans="2:3" x14ac:dyDescent="0.35">
      <c r="B84" s="21">
        <v>71</v>
      </c>
      <c r="C84" s="4" t="s">
        <v>88</v>
      </c>
    </row>
    <row r="85" spans="2:3" x14ac:dyDescent="0.35">
      <c r="B85" s="21">
        <v>72</v>
      </c>
      <c r="C85" s="4" t="s">
        <v>89</v>
      </c>
    </row>
    <row r="86" spans="2:3" x14ac:dyDescent="0.35">
      <c r="B86" s="21">
        <v>73</v>
      </c>
      <c r="C86" s="4" t="s">
        <v>90</v>
      </c>
    </row>
    <row r="87" spans="2:3" x14ac:dyDescent="0.35">
      <c r="B87" s="21">
        <v>74</v>
      </c>
      <c r="C87" s="4" t="s">
        <v>91</v>
      </c>
    </row>
    <row r="88" spans="2:3" x14ac:dyDescent="0.35">
      <c r="B88" s="21">
        <v>75</v>
      </c>
      <c r="C88" s="4" t="s">
        <v>92</v>
      </c>
    </row>
    <row r="89" spans="2:3" x14ac:dyDescent="0.35">
      <c r="B89" s="21">
        <v>76</v>
      </c>
      <c r="C89" s="4" t="s">
        <v>78</v>
      </c>
    </row>
    <row r="90" spans="2:3" x14ac:dyDescent="0.35">
      <c r="B90" s="21">
        <v>77</v>
      </c>
      <c r="C90" s="4" t="s">
        <v>93</v>
      </c>
    </row>
    <row r="91" spans="2:3" x14ac:dyDescent="0.35">
      <c r="B91" s="21">
        <v>78</v>
      </c>
      <c r="C91" s="4" t="s">
        <v>80</v>
      </c>
    </row>
    <row r="92" spans="2:3" x14ac:dyDescent="0.35">
      <c r="B92" s="21">
        <v>79</v>
      </c>
      <c r="C92" s="4" t="s">
        <v>94</v>
      </c>
    </row>
    <row r="93" spans="2:3" x14ac:dyDescent="0.35">
      <c r="B93" s="21">
        <v>80</v>
      </c>
      <c r="C93" s="4" t="s">
        <v>82</v>
      </c>
    </row>
    <row r="94" spans="2:3" x14ac:dyDescent="0.35">
      <c r="B94" s="21">
        <v>81</v>
      </c>
      <c r="C94" s="4" t="s">
        <v>83</v>
      </c>
    </row>
    <row r="95" spans="2:3" x14ac:dyDescent="0.35">
      <c r="B95" s="21">
        <v>82</v>
      </c>
      <c r="C95" s="4" t="s">
        <v>84</v>
      </c>
    </row>
    <row r="96" spans="2:3" x14ac:dyDescent="0.35">
      <c r="B96" s="21">
        <v>83</v>
      </c>
      <c r="C96" s="4" t="s">
        <v>85</v>
      </c>
    </row>
    <row r="97" spans="2:3" x14ac:dyDescent="0.35">
      <c r="B97" s="21">
        <v>84</v>
      </c>
      <c r="C97" s="4" t="s">
        <v>86</v>
      </c>
    </row>
    <row r="98" spans="2:3" x14ac:dyDescent="0.35">
      <c r="B98" s="21">
        <v>85</v>
      </c>
      <c r="C98" s="4" t="s">
        <v>95</v>
      </c>
    </row>
    <row r="99" spans="2:3" x14ac:dyDescent="0.35">
      <c r="B99" s="21">
        <v>86</v>
      </c>
      <c r="C99" s="4" t="s">
        <v>96</v>
      </c>
    </row>
    <row r="100" spans="2:3" x14ac:dyDescent="0.35">
      <c r="B100" s="21">
        <v>87</v>
      </c>
      <c r="C100" s="4" t="s">
        <v>89</v>
      </c>
    </row>
    <row r="101" spans="2:3" x14ac:dyDescent="0.35">
      <c r="B101" s="21">
        <v>88</v>
      </c>
      <c r="C101" s="4" t="s">
        <v>90</v>
      </c>
    </row>
    <row r="102" spans="2:3" x14ac:dyDescent="0.35">
      <c r="B102" s="21">
        <v>89</v>
      </c>
      <c r="C102" s="4" t="s">
        <v>91</v>
      </c>
    </row>
  </sheetData>
  <dataValidations count="1">
    <dataValidation allowBlank="1" showInputMessage="1" showErrorMessage="1" sqref="C4" xr:uid="{0EC32CC6-9542-4292-897F-BC1123BD8590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81-D3D0-4288-BB42-0CD93E305CF8}">
  <sheetPr codeName="Hoja4"/>
  <dimension ref="C1:J21"/>
  <sheetViews>
    <sheetView zoomScale="70" zoomScaleNormal="70" workbookViewId="0">
      <selection sqref="A1:XFD1048576"/>
    </sheetView>
  </sheetViews>
  <sheetFormatPr baseColWidth="10" defaultColWidth="18.90625" defaultRowHeight="15.5" x14ac:dyDescent="0.35"/>
  <cols>
    <col min="1" max="2" width="3.08984375" style="155" customWidth="1"/>
    <col min="3" max="3" width="59.6328125" style="155" customWidth="1"/>
    <col min="4" max="10" width="20" style="155" customWidth="1"/>
    <col min="11" max="16384" width="18.90625" style="155"/>
  </cols>
  <sheetData>
    <row r="1" spans="3:10" ht="16" thickBot="1" x14ac:dyDescent="0.4"/>
    <row r="2" spans="3:10" ht="21" thickBot="1" x14ac:dyDescent="0.5">
      <c r="C2" s="156" t="s">
        <v>41</v>
      </c>
      <c r="D2" s="157"/>
    </row>
    <row r="3" spans="3:10" ht="18.5" thickBot="1" x14ac:dyDescent="0.45">
      <c r="C3" s="158"/>
      <c r="D3" s="159">
        <v>2018</v>
      </c>
      <c r="E3" s="160">
        <v>2019</v>
      </c>
      <c r="F3" s="160">
        <v>2020</v>
      </c>
      <c r="G3" s="160">
        <v>2021</v>
      </c>
      <c r="H3" s="160">
        <v>2022</v>
      </c>
      <c r="I3" s="160">
        <v>2023</v>
      </c>
      <c r="J3" s="160">
        <v>2024</v>
      </c>
    </row>
    <row r="4" spans="3:10" ht="16" thickBot="1" x14ac:dyDescent="0.4">
      <c r="C4" s="157"/>
      <c r="D4" s="161"/>
      <c r="E4" s="162"/>
      <c r="F4" s="162"/>
      <c r="G4" s="162"/>
      <c r="H4" s="162"/>
      <c r="I4" s="162"/>
      <c r="J4" s="162"/>
    </row>
    <row r="5" spans="3:10" x14ac:dyDescent="0.35">
      <c r="C5" s="163" t="s">
        <v>13</v>
      </c>
      <c r="D5" s="164">
        <v>876068724.0913229</v>
      </c>
      <c r="E5" s="165">
        <v>810952185.71435988</v>
      </c>
      <c r="F5" s="165">
        <v>678138819.45779657</v>
      </c>
      <c r="G5" s="165">
        <v>570036545.83152092</v>
      </c>
      <c r="H5" s="165">
        <v>652432257.69901121</v>
      </c>
      <c r="I5" s="165">
        <v>641551608.57908845</v>
      </c>
      <c r="J5" s="166">
        <v>550376182.78329098</v>
      </c>
    </row>
    <row r="6" spans="3:10" x14ac:dyDescent="0.35">
      <c r="C6" s="167" t="s">
        <v>14</v>
      </c>
      <c r="D6" s="168">
        <v>-81397781.962753713</v>
      </c>
      <c r="E6" s="169">
        <v>-72920288.764447302</v>
      </c>
      <c r="F6" s="169">
        <v>-65848122.852628678</v>
      </c>
      <c r="G6" s="169">
        <v>-59403010.665286541</v>
      </c>
      <c r="H6" s="169">
        <v>-65600474.554355472</v>
      </c>
      <c r="I6" s="169">
        <v>-64274798.927613944</v>
      </c>
      <c r="J6" s="170">
        <v>0</v>
      </c>
    </row>
    <row r="7" spans="3:10" ht="16" thickBot="1" x14ac:dyDescent="0.4">
      <c r="C7" s="171" t="s">
        <v>42</v>
      </c>
      <c r="D7" s="172">
        <v>6948756.6662707906</v>
      </c>
      <c r="E7" s="173">
        <v>4353264.1696465183</v>
      </c>
      <c r="F7" s="173">
        <v>17539269.204082828</v>
      </c>
      <c r="G7" s="173">
        <v>5842887.8509717509</v>
      </c>
      <c r="H7" s="173">
        <v>7851141.8964178478</v>
      </c>
      <c r="I7" s="173">
        <v>22686997.319034852</v>
      </c>
      <c r="J7" s="174">
        <v>1672744.057235172</v>
      </c>
    </row>
    <row r="8" spans="3:10" ht="18.5" thickBot="1" x14ac:dyDescent="0.45">
      <c r="C8" s="175" t="s">
        <v>15</v>
      </c>
      <c r="D8" s="176">
        <v>801619698.79483998</v>
      </c>
      <c r="E8" s="177">
        <v>742385161.11955917</v>
      </c>
      <c r="F8" s="177">
        <v>629829965.80925071</v>
      </c>
      <c r="G8" s="177">
        <v>516476423.01720613</v>
      </c>
      <c r="H8" s="177">
        <v>594682925.04107368</v>
      </c>
      <c r="I8" s="177">
        <v>599963806.97050941</v>
      </c>
      <c r="J8" s="178">
        <v>552048926.84052622</v>
      </c>
    </row>
    <row r="9" spans="3:10" ht="16" thickBot="1" x14ac:dyDescent="0.4">
      <c r="C9" s="179" t="s">
        <v>16</v>
      </c>
      <c r="D9" s="180">
        <v>473966056.45193213</v>
      </c>
      <c r="E9" s="181">
        <v>430568342.82214832</v>
      </c>
      <c r="F9" s="181">
        <v>361270825.84452826</v>
      </c>
      <c r="G9" s="181">
        <v>294600043.8168962</v>
      </c>
      <c r="H9" s="181">
        <v>332666935.49193352</v>
      </c>
      <c r="I9" s="181">
        <v>323738941.01876676</v>
      </c>
      <c r="J9" s="182">
        <v>298319255.32733285</v>
      </c>
    </row>
    <row r="10" spans="3:10" ht="19" thickTop="1" thickBot="1" x14ac:dyDescent="0.45">
      <c r="C10" s="183" t="s">
        <v>17</v>
      </c>
      <c r="D10" s="184">
        <v>327653642.34290785</v>
      </c>
      <c r="E10" s="185">
        <v>311816818.29741079</v>
      </c>
      <c r="F10" s="185">
        <v>268559139.96472245</v>
      </c>
      <c r="G10" s="185">
        <v>221876379.2003099</v>
      </c>
      <c r="H10" s="185">
        <v>262015989.54914004</v>
      </c>
      <c r="I10" s="185">
        <v>276224865.95174265</v>
      </c>
      <c r="J10" s="186">
        <v>253729671.51319331</v>
      </c>
    </row>
    <row r="11" spans="3:10" ht="16" thickBot="1" x14ac:dyDescent="0.4">
      <c r="C11" s="167" t="s">
        <v>18</v>
      </c>
      <c r="D11" s="168">
        <v>243339950.11961114</v>
      </c>
      <c r="E11" s="169">
        <v>226744964.52722865</v>
      </c>
      <c r="F11" s="169">
        <v>193533434.20579654</v>
      </c>
      <c r="G11" s="169">
        <v>148586905.09831813</v>
      </c>
      <c r="H11" s="169">
        <v>173658900.72682801</v>
      </c>
      <c r="I11" s="169">
        <v>186356903.4852547</v>
      </c>
      <c r="J11" s="170">
        <v>172322486.34510347</v>
      </c>
    </row>
    <row r="12" spans="3:10" ht="18.5" thickBot="1" x14ac:dyDescent="0.45">
      <c r="C12" s="187" t="s">
        <v>19</v>
      </c>
      <c r="D12" s="176">
        <v>84313692.223296747</v>
      </c>
      <c r="E12" s="177">
        <v>85071853.770182118</v>
      </c>
      <c r="F12" s="177">
        <v>75025705.758925945</v>
      </c>
      <c r="G12" s="177">
        <v>73289474.101991773</v>
      </c>
      <c r="H12" s="177">
        <v>88357088.822312057</v>
      </c>
      <c r="I12" s="177">
        <v>89867962.466487944</v>
      </c>
      <c r="J12" s="178">
        <v>81407185.168089852</v>
      </c>
    </row>
    <row r="13" spans="3:10" ht="16" thickBot="1" x14ac:dyDescent="0.4">
      <c r="C13" s="179" t="s">
        <v>20</v>
      </c>
      <c r="D13" s="180">
        <v>30532792.679685336</v>
      </c>
      <c r="E13" s="181">
        <v>29117773.752744146</v>
      </c>
      <c r="F13" s="181">
        <v>25700743.168119844</v>
      </c>
      <c r="G13" s="181">
        <v>18404366.44895808</v>
      </c>
      <c r="H13" s="181">
        <v>18151704.096697114</v>
      </c>
      <c r="I13" s="181">
        <v>18935991.95710456</v>
      </c>
      <c r="J13" s="182">
        <v>19000538.502961766</v>
      </c>
    </row>
    <row r="14" spans="3:10" ht="19" thickTop="1" thickBot="1" x14ac:dyDescent="0.45">
      <c r="C14" s="183" t="s">
        <v>21</v>
      </c>
      <c r="D14" s="184">
        <v>53780899.543611407</v>
      </c>
      <c r="E14" s="185">
        <v>55954080.017437965</v>
      </c>
      <c r="F14" s="185">
        <v>49324962.590806119</v>
      </c>
      <c r="G14" s="185">
        <v>54885107.653033689</v>
      </c>
      <c r="H14" s="185">
        <v>70205384.725614935</v>
      </c>
      <c r="I14" s="185">
        <v>70931970.50938338</v>
      </c>
      <c r="J14" s="186">
        <v>62406646.665128089</v>
      </c>
    </row>
    <row r="15" spans="3:10" x14ac:dyDescent="0.35">
      <c r="C15" s="167" t="s">
        <v>22</v>
      </c>
      <c r="D15" s="168">
        <v>19480497.446599141</v>
      </c>
      <c r="E15" s="169">
        <v>17364790.874130048</v>
      </c>
      <c r="F15" s="169">
        <v>15168069.685595579</v>
      </c>
      <c r="G15" s="169">
        <v>13083153.673475219</v>
      </c>
      <c r="H15" s="169">
        <v>17766128.682878386</v>
      </c>
      <c r="I15" s="169">
        <v>16773123.324396782</v>
      </c>
      <c r="J15" s="170">
        <v>13685975.844295716</v>
      </c>
    </row>
    <row r="16" spans="3:10" x14ac:dyDescent="0.35">
      <c r="C16" s="167" t="s">
        <v>23</v>
      </c>
      <c r="D16" s="168">
        <v>5397487.8833635896</v>
      </c>
      <c r="E16" s="168">
        <v>718278.20824878174</v>
      </c>
      <c r="F16" s="168">
        <v>1541509.5759176747</v>
      </c>
      <c r="G16" s="168">
        <v>6590950.2233709171</v>
      </c>
      <c r="H16" s="168">
        <v>1337683.4149251343</v>
      </c>
      <c r="I16" s="168">
        <v>753686.32707774802</v>
      </c>
      <c r="J16" s="168">
        <v>2182937.1490114625</v>
      </c>
    </row>
    <row r="17" spans="3:10" x14ac:dyDescent="0.35">
      <c r="C17" s="167" t="s">
        <v>24</v>
      </c>
      <c r="D17" s="168">
        <v>9191677.5532594752</v>
      </c>
      <c r="E17" s="168">
        <v>7866807.1391871627</v>
      </c>
      <c r="F17" s="168">
        <v>11697583.24068114</v>
      </c>
      <c r="G17" s="168">
        <v>12894550.511673395</v>
      </c>
      <c r="H17" s="168">
        <v>8883230.9686707482</v>
      </c>
      <c r="I17" s="168">
        <v>7578753.351206434</v>
      </c>
      <c r="J17" s="168">
        <v>18314331.871682435</v>
      </c>
    </row>
    <row r="18" spans="3:10" ht="18.5" thickBot="1" x14ac:dyDescent="0.45">
      <c r="C18" s="183" t="s">
        <v>28</v>
      </c>
      <c r="D18" s="184">
        <v>30506212.427116379</v>
      </c>
      <c r="E18" s="184">
        <v>31440760.212369531</v>
      </c>
      <c r="F18" s="184">
        <v>24000819.240447074</v>
      </c>
      <c r="G18" s="184">
        <v>35498353.691255987</v>
      </c>
      <c r="H18" s="184">
        <v>44893708.488990933</v>
      </c>
      <c r="I18" s="184">
        <v>47333780.160857908</v>
      </c>
      <c r="J18" s="184">
        <v>32589276.098161399</v>
      </c>
    </row>
    <row r="19" spans="3:10" ht="16" thickBot="1" x14ac:dyDescent="0.4">
      <c r="C19" s="179" t="s">
        <v>29</v>
      </c>
      <c r="D19" s="180">
        <v>11513773.660666317</v>
      </c>
      <c r="E19" s="181">
        <v>12706881.250551425</v>
      </c>
      <c r="F19" s="181">
        <v>13046404.119609106</v>
      </c>
      <c r="G19" s="181">
        <v>15136197.518947633</v>
      </c>
      <c r="H19" s="181">
        <v>20142899.513781738</v>
      </c>
      <c r="I19" s="181">
        <v>19885723.860589813</v>
      </c>
      <c r="J19" s="182">
        <v>3971074.6980536962</v>
      </c>
    </row>
    <row r="20" spans="3:10" ht="19" thickTop="1" thickBot="1" x14ac:dyDescent="0.45">
      <c r="C20" s="183" t="s">
        <v>30</v>
      </c>
      <c r="D20" s="184">
        <v>18992438.766450062</v>
      </c>
      <c r="E20" s="185">
        <v>18733878.961818118</v>
      </c>
      <c r="F20" s="185">
        <v>10954415.120837966</v>
      </c>
      <c r="G20" s="185">
        <v>20362156.172308356</v>
      </c>
      <c r="H20" s="185">
        <v>24750808.975209199</v>
      </c>
      <c r="I20" s="185">
        <v>27448056.300268095</v>
      </c>
      <c r="J20" s="186">
        <v>28618201.4001077</v>
      </c>
    </row>
    <row r="21" spans="3:10" x14ac:dyDescent="0.35">
      <c r="E21" s="192"/>
      <c r="F21" s="192"/>
      <c r="G21" s="192"/>
      <c r="H21" s="192"/>
      <c r="I21" s="192"/>
      <c r="J21" s="19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6BAF9-2D45-4504-ABE0-D822B712F111}">
  <sheetPr codeName="Hoja5"/>
  <dimension ref="A1:I35"/>
  <sheetViews>
    <sheetView workbookViewId="0">
      <selection activeCell="B10" sqref="B10"/>
    </sheetView>
  </sheetViews>
  <sheetFormatPr baseColWidth="10" defaultRowHeight="10.5" x14ac:dyDescent="0.25"/>
  <cols>
    <col min="1" max="1" width="25.54296875" style="499" bestFit="1" customWidth="1"/>
    <col min="2" max="2" width="35.26953125" style="499" customWidth="1"/>
    <col min="3" max="9" width="10.453125" style="508" customWidth="1"/>
    <col min="10" max="16384" width="10.90625" style="499"/>
  </cols>
  <sheetData>
    <row r="1" spans="1:9" ht="11" thickBot="1" x14ac:dyDescent="0.3">
      <c r="A1" s="509" t="s">
        <v>111</v>
      </c>
      <c r="B1" s="498" t="s">
        <v>12</v>
      </c>
      <c r="C1" s="498">
        <v>2018</v>
      </c>
      <c r="D1" s="498">
        <f>+C1+1</f>
        <v>2019</v>
      </c>
      <c r="E1" s="498">
        <f t="shared" ref="E1:I1" si="0">+D1+1</f>
        <v>2020</v>
      </c>
      <c r="F1" s="498">
        <f t="shared" si="0"/>
        <v>2021</v>
      </c>
      <c r="G1" s="498">
        <f t="shared" si="0"/>
        <v>2022</v>
      </c>
      <c r="H1" s="498">
        <f t="shared" si="0"/>
        <v>2023</v>
      </c>
      <c r="I1" s="498">
        <f t="shared" si="0"/>
        <v>2024</v>
      </c>
    </row>
    <row r="2" spans="1:9" ht="11" thickBot="1" x14ac:dyDescent="0.3">
      <c r="A2" s="500" t="s">
        <v>13</v>
      </c>
      <c r="B2" s="501" t="s">
        <v>108</v>
      </c>
      <c r="C2" s="504">
        <v>711000000</v>
      </c>
      <c r="D2" s="504">
        <v>664000000</v>
      </c>
      <c r="E2" s="504">
        <v>555000000</v>
      </c>
      <c r="F2" s="504">
        <v>466000000</v>
      </c>
      <c r="G2" s="504">
        <v>530000000</v>
      </c>
      <c r="H2" s="504">
        <v>520000000</v>
      </c>
      <c r="I2" s="504">
        <v>440000000</v>
      </c>
    </row>
    <row r="3" spans="1:9" ht="11" thickBot="1" x14ac:dyDescent="0.3">
      <c r="A3" s="500" t="s">
        <v>13</v>
      </c>
      <c r="B3" s="501" t="s">
        <v>109</v>
      </c>
      <c r="C3" s="504">
        <v>116000000</v>
      </c>
      <c r="D3" s="504">
        <v>108000000</v>
      </c>
      <c r="E3" s="504">
        <v>90000000</v>
      </c>
      <c r="F3" s="504">
        <v>76000000</v>
      </c>
      <c r="G3" s="504">
        <v>82000000</v>
      </c>
      <c r="H3" s="504">
        <v>80000000</v>
      </c>
      <c r="I3" s="504">
        <v>72000000</v>
      </c>
    </row>
    <row r="4" spans="1:9" ht="11" thickBot="1" x14ac:dyDescent="0.3">
      <c r="A4" s="500" t="s">
        <v>13</v>
      </c>
      <c r="B4" s="501" t="s">
        <v>110</v>
      </c>
      <c r="C4" s="504">
        <v>49068724</v>
      </c>
      <c r="D4" s="504">
        <v>38952186</v>
      </c>
      <c r="E4" s="504">
        <v>33138819</v>
      </c>
      <c r="F4" s="504">
        <v>28036546</v>
      </c>
      <c r="G4" s="504">
        <v>40432258</v>
      </c>
      <c r="H4" s="504">
        <v>41551609</v>
      </c>
      <c r="I4" s="504">
        <v>38376183</v>
      </c>
    </row>
    <row r="5" spans="1:9" ht="11" thickBot="1" x14ac:dyDescent="0.3">
      <c r="A5" s="500" t="s">
        <v>13</v>
      </c>
      <c r="B5" s="501" t="s">
        <v>135</v>
      </c>
      <c r="C5" s="504">
        <f>+SUM(C2:C4)</f>
        <v>876068724</v>
      </c>
      <c r="D5" s="504">
        <f t="shared" ref="D5:I5" si="1">+SUM(D2:D4)</f>
        <v>810952186</v>
      </c>
      <c r="E5" s="504">
        <f t="shared" si="1"/>
        <v>678138819</v>
      </c>
      <c r="F5" s="504">
        <f t="shared" si="1"/>
        <v>570036546</v>
      </c>
      <c r="G5" s="504">
        <f t="shared" si="1"/>
        <v>652432258</v>
      </c>
      <c r="H5" s="504">
        <f t="shared" si="1"/>
        <v>641551609</v>
      </c>
      <c r="I5" s="504">
        <f t="shared" si="1"/>
        <v>550376183</v>
      </c>
    </row>
    <row r="6" spans="1:9" ht="11" thickBot="1" x14ac:dyDescent="0.3">
      <c r="A6" s="500" t="s">
        <v>112</v>
      </c>
      <c r="B6" s="501" t="s">
        <v>14</v>
      </c>
      <c r="C6" s="504">
        <v>-81397782</v>
      </c>
      <c r="D6" s="504">
        <v>-72920289</v>
      </c>
      <c r="E6" s="504">
        <v>-65848123</v>
      </c>
      <c r="F6" s="504">
        <v>-59403011</v>
      </c>
      <c r="G6" s="504">
        <v>-65600475</v>
      </c>
      <c r="H6" s="504">
        <v>-64274799</v>
      </c>
      <c r="I6" s="504" t="s">
        <v>105</v>
      </c>
    </row>
    <row r="7" spans="1:9" ht="11" thickBot="1" x14ac:dyDescent="0.3">
      <c r="A7" s="500" t="s">
        <v>42</v>
      </c>
      <c r="B7" s="501" t="s">
        <v>113</v>
      </c>
      <c r="C7" s="504">
        <v>3100000</v>
      </c>
      <c r="D7" s="504">
        <v>2000000</v>
      </c>
      <c r="E7" s="504">
        <v>9000000</v>
      </c>
      <c r="F7" s="504">
        <v>2400000</v>
      </c>
      <c r="G7" s="504">
        <v>3500000</v>
      </c>
      <c r="H7" s="504">
        <v>8000000</v>
      </c>
      <c r="I7" s="504">
        <v>900</v>
      </c>
    </row>
    <row r="8" spans="1:9" ht="11" thickBot="1" x14ac:dyDescent="0.3">
      <c r="A8" s="500" t="s">
        <v>42</v>
      </c>
      <c r="B8" s="501" t="s">
        <v>114</v>
      </c>
      <c r="C8" s="504">
        <v>2048757</v>
      </c>
      <c r="D8" s="504">
        <v>1353264</v>
      </c>
      <c r="E8" s="504">
        <v>5539269</v>
      </c>
      <c r="F8" s="504">
        <v>2042888</v>
      </c>
      <c r="G8" s="504">
        <v>3051142</v>
      </c>
      <c r="H8" s="504">
        <v>9686997</v>
      </c>
      <c r="I8" s="504">
        <v>472744</v>
      </c>
    </row>
    <row r="9" spans="1:9" ht="11" thickBot="1" x14ac:dyDescent="0.3">
      <c r="A9" s="500" t="s">
        <v>42</v>
      </c>
      <c r="B9" s="501" t="s">
        <v>128</v>
      </c>
      <c r="C9" s="504">
        <v>1800000</v>
      </c>
      <c r="D9" s="504">
        <v>1000000</v>
      </c>
      <c r="E9" s="504">
        <v>3000000</v>
      </c>
      <c r="F9" s="504">
        <v>1400000</v>
      </c>
      <c r="G9" s="504">
        <v>1300000</v>
      </c>
      <c r="H9" s="504">
        <v>5000000</v>
      </c>
      <c r="I9" s="504">
        <v>300</v>
      </c>
    </row>
    <row r="10" spans="1:9" ht="12.5" thickBot="1" x14ac:dyDescent="0.35">
      <c r="A10" s="503" t="s">
        <v>106</v>
      </c>
      <c r="B10" s="503" t="s">
        <v>106</v>
      </c>
      <c r="C10" s="505">
        <v>801619699</v>
      </c>
      <c r="D10" s="506">
        <v>742385161</v>
      </c>
      <c r="E10" s="506">
        <v>629829966</v>
      </c>
      <c r="F10" s="506">
        <v>516476423</v>
      </c>
      <c r="G10" s="506">
        <v>594682925</v>
      </c>
      <c r="H10" s="506">
        <v>599963807</v>
      </c>
      <c r="I10" s="507">
        <v>552048927</v>
      </c>
    </row>
    <row r="11" spans="1:9" ht="11" thickBot="1" x14ac:dyDescent="0.3">
      <c r="A11" s="500" t="s">
        <v>16</v>
      </c>
      <c r="B11" s="501" t="s">
        <v>115</v>
      </c>
      <c r="C11" s="504">
        <v>326000000</v>
      </c>
      <c r="D11" s="504">
        <v>297000000</v>
      </c>
      <c r="E11" s="504">
        <v>247000000</v>
      </c>
      <c r="F11" s="504">
        <v>200000000</v>
      </c>
      <c r="G11" s="504">
        <v>230000000</v>
      </c>
      <c r="H11" s="504">
        <v>225000000</v>
      </c>
      <c r="I11" s="504">
        <v>208000000</v>
      </c>
    </row>
    <row r="12" spans="1:9" ht="11" thickBot="1" x14ac:dyDescent="0.3">
      <c r="A12" s="500" t="s">
        <v>16</v>
      </c>
      <c r="B12" s="501" t="s">
        <v>116</v>
      </c>
      <c r="C12" s="504">
        <v>55000000</v>
      </c>
      <c r="D12" s="504">
        <v>50000000</v>
      </c>
      <c r="E12" s="504">
        <v>42000000</v>
      </c>
      <c r="F12" s="504">
        <v>33000000</v>
      </c>
      <c r="G12" s="504">
        <v>37000000</v>
      </c>
      <c r="H12" s="504">
        <v>35000000</v>
      </c>
      <c r="I12" s="504">
        <v>32000000</v>
      </c>
    </row>
    <row r="13" spans="1:9" ht="11" thickBot="1" x14ac:dyDescent="0.3">
      <c r="A13" s="500" t="s">
        <v>16</v>
      </c>
      <c r="B13" s="501" t="s">
        <v>117</v>
      </c>
      <c r="C13" s="504">
        <v>68000000</v>
      </c>
      <c r="D13" s="504">
        <v>62000000</v>
      </c>
      <c r="E13" s="504">
        <v>54000000</v>
      </c>
      <c r="F13" s="504">
        <v>44000000</v>
      </c>
      <c r="G13" s="504">
        <v>47000000</v>
      </c>
      <c r="H13" s="504">
        <v>45000000</v>
      </c>
      <c r="I13" s="504">
        <v>41000000</v>
      </c>
    </row>
    <row r="14" spans="1:9" ht="11" thickBot="1" x14ac:dyDescent="0.3">
      <c r="A14" s="500" t="s">
        <v>16</v>
      </c>
      <c r="B14" s="501" t="s">
        <v>118</v>
      </c>
      <c r="C14" s="504">
        <v>9000000</v>
      </c>
      <c r="D14" s="504">
        <v>8000000</v>
      </c>
      <c r="E14" s="504">
        <v>7000000</v>
      </c>
      <c r="F14" s="504">
        <v>6000000</v>
      </c>
      <c r="G14" s="504">
        <v>6500000</v>
      </c>
      <c r="H14" s="504">
        <v>6000000</v>
      </c>
      <c r="I14" s="504">
        <v>5500000</v>
      </c>
    </row>
    <row r="15" spans="1:9" ht="11" thickBot="1" x14ac:dyDescent="0.3">
      <c r="A15" s="500" t="s">
        <v>16</v>
      </c>
      <c r="B15" s="501" t="s">
        <v>129</v>
      </c>
      <c r="C15" s="504">
        <v>5966056</v>
      </c>
      <c r="D15" s="504">
        <v>5568343</v>
      </c>
      <c r="E15" s="504">
        <v>5270826</v>
      </c>
      <c r="F15" s="504">
        <v>4600044</v>
      </c>
      <c r="G15" s="504">
        <v>5166935</v>
      </c>
      <c r="H15" s="504">
        <v>4738941</v>
      </c>
      <c r="I15" s="504">
        <v>3819255</v>
      </c>
    </row>
    <row r="16" spans="1:9" ht="12.5" thickBot="1" x14ac:dyDescent="0.35">
      <c r="A16" s="503" t="s">
        <v>17</v>
      </c>
      <c r="B16" s="503" t="s">
        <v>17</v>
      </c>
      <c r="C16" s="505">
        <v>327653642</v>
      </c>
      <c r="D16" s="506">
        <v>311816818</v>
      </c>
      <c r="E16" s="506">
        <v>268559140</v>
      </c>
      <c r="F16" s="506">
        <v>221876379</v>
      </c>
      <c r="G16" s="506">
        <v>262015990</v>
      </c>
      <c r="H16" s="506">
        <v>276224866</v>
      </c>
      <c r="I16" s="507">
        <v>253729672</v>
      </c>
    </row>
    <row r="17" spans="1:9" ht="11" thickBot="1" x14ac:dyDescent="0.3">
      <c r="A17" s="500" t="s">
        <v>18</v>
      </c>
      <c r="B17" s="501" t="s">
        <v>119</v>
      </c>
      <c r="C17" s="504">
        <v>86000000</v>
      </c>
      <c r="D17" s="504">
        <v>80000000</v>
      </c>
      <c r="E17" s="504">
        <v>68000000</v>
      </c>
      <c r="F17" s="504">
        <v>53000000</v>
      </c>
      <c r="G17" s="504">
        <v>59000000</v>
      </c>
      <c r="H17" s="504">
        <v>61000000</v>
      </c>
      <c r="I17" s="504">
        <v>57000000</v>
      </c>
    </row>
    <row r="18" spans="1:9" ht="11" thickBot="1" x14ac:dyDescent="0.3">
      <c r="A18" s="500" t="s">
        <v>18</v>
      </c>
      <c r="B18" s="501" t="s">
        <v>120</v>
      </c>
      <c r="C18" s="504">
        <v>92000000</v>
      </c>
      <c r="D18" s="504">
        <v>84000000</v>
      </c>
      <c r="E18" s="504">
        <v>72000000</v>
      </c>
      <c r="F18" s="504">
        <v>56000000</v>
      </c>
      <c r="G18" s="504">
        <v>69000000</v>
      </c>
      <c r="H18" s="504">
        <v>75000000</v>
      </c>
      <c r="I18" s="504">
        <v>69000000</v>
      </c>
    </row>
    <row r="19" spans="1:9" ht="11" thickBot="1" x14ac:dyDescent="0.3">
      <c r="A19" s="500" t="s">
        <v>18</v>
      </c>
      <c r="B19" s="501" t="s">
        <v>121</v>
      </c>
      <c r="C19" s="504">
        <v>22000000</v>
      </c>
      <c r="D19" s="504">
        <v>20000000</v>
      </c>
      <c r="E19" s="504">
        <v>17000000</v>
      </c>
      <c r="F19" s="504">
        <v>14000000</v>
      </c>
      <c r="G19" s="504">
        <v>15000000</v>
      </c>
      <c r="H19" s="504">
        <v>16000000</v>
      </c>
      <c r="I19" s="504">
        <v>14000000</v>
      </c>
    </row>
    <row r="20" spans="1:9" ht="11" thickBot="1" x14ac:dyDescent="0.3">
      <c r="A20" s="500" t="s">
        <v>18</v>
      </c>
      <c r="B20" s="501" t="s">
        <v>122</v>
      </c>
      <c r="C20" s="504">
        <v>8000000</v>
      </c>
      <c r="D20" s="504">
        <v>7500000</v>
      </c>
      <c r="E20" s="504">
        <v>7000000</v>
      </c>
      <c r="F20" s="504">
        <v>6000000</v>
      </c>
      <c r="G20" s="504">
        <v>7000000</v>
      </c>
      <c r="H20" s="504">
        <v>8000000</v>
      </c>
      <c r="I20" s="504">
        <v>7000000</v>
      </c>
    </row>
    <row r="21" spans="1:9" ht="11" thickBot="1" x14ac:dyDescent="0.3">
      <c r="A21" s="500" t="s">
        <v>18</v>
      </c>
      <c r="B21" s="501" t="s">
        <v>130</v>
      </c>
      <c r="C21" s="504">
        <v>35339950</v>
      </c>
      <c r="D21" s="504">
        <v>35244965</v>
      </c>
      <c r="E21" s="504">
        <v>29533434</v>
      </c>
      <c r="F21" s="504">
        <v>19586905</v>
      </c>
      <c r="G21" s="504">
        <v>23658901</v>
      </c>
      <c r="H21" s="504">
        <v>26356903</v>
      </c>
      <c r="I21" s="504">
        <v>25322486</v>
      </c>
    </row>
    <row r="22" spans="1:9" ht="12.5" thickBot="1" x14ac:dyDescent="0.35">
      <c r="A22" s="503" t="s">
        <v>19</v>
      </c>
      <c r="B22" s="503" t="s">
        <v>19</v>
      </c>
      <c r="C22" s="505">
        <v>84313692</v>
      </c>
      <c r="D22" s="506">
        <v>85071854</v>
      </c>
      <c r="E22" s="506">
        <v>75025706</v>
      </c>
      <c r="F22" s="506">
        <v>73289474</v>
      </c>
      <c r="G22" s="506">
        <v>88357089</v>
      </c>
      <c r="H22" s="506">
        <v>89867962</v>
      </c>
      <c r="I22" s="507">
        <v>81407185</v>
      </c>
    </row>
    <row r="23" spans="1:9" ht="11" thickBot="1" x14ac:dyDescent="0.3">
      <c r="A23" s="500" t="s">
        <v>20</v>
      </c>
      <c r="B23" s="502" t="s">
        <v>20</v>
      </c>
      <c r="C23" s="504">
        <v>30532793</v>
      </c>
      <c r="D23" s="504">
        <v>29117774</v>
      </c>
      <c r="E23" s="504">
        <v>25700743</v>
      </c>
      <c r="F23" s="504">
        <v>18404366</v>
      </c>
      <c r="G23" s="504">
        <v>18151704</v>
      </c>
      <c r="H23" s="504">
        <v>18935992</v>
      </c>
      <c r="I23" s="504">
        <v>19000539</v>
      </c>
    </row>
    <row r="24" spans="1:9" ht="12.5" thickBot="1" x14ac:dyDescent="0.35">
      <c r="A24" s="503" t="s">
        <v>21</v>
      </c>
      <c r="B24" s="503" t="s">
        <v>21</v>
      </c>
      <c r="C24" s="505">
        <v>53780900</v>
      </c>
      <c r="D24" s="506">
        <v>55954080</v>
      </c>
      <c r="E24" s="506">
        <v>49324963</v>
      </c>
      <c r="F24" s="506">
        <v>54885108</v>
      </c>
      <c r="G24" s="506">
        <v>70205385</v>
      </c>
      <c r="H24" s="506">
        <v>70931971</v>
      </c>
      <c r="I24" s="507">
        <v>62406647</v>
      </c>
    </row>
    <row r="25" spans="1:9" ht="11" thickBot="1" x14ac:dyDescent="0.3">
      <c r="A25" s="500" t="s">
        <v>22</v>
      </c>
      <c r="B25" s="501" t="s">
        <v>123</v>
      </c>
      <c r="C25" s="504">
        <v>12000000</v>
      </c>
      <c r="D25" s="504">
        <v>10500000</v>
      </c>
      <c r="E25" s="504">
        <v>9000000</v>
      </c>
      <c r="F25" s="504">
        <v>7500000</v>
      </c>
      <c r="G25" s="504">
        <v>10500000</v>
      </c>
      <c r="H25" s="504">
        <v>9500000</v>
      </c>
      <c r="I25" s="504">
        <v>8000000</v>
      </c>
    </row>
    <row r="26" spans="1:9" ht="11" thickBot="1" x14ac:dyDescent="0.3">
      <c r="A26" s="500" t="s">
        <v>22</v>
      </c>
      <c r="B26" s="501" t="s">
        <v>124</v>
      </c>
      <c r="C26" s="504">
        <v>6000000</v>
      </c>
      <c r="D26" s="504">
        <v>6000000</v>
      </c>
      <c r="E26" s="504">
        <v>5000000</v>
      </c>
      <c r="F26" s="504">
        <v>4500000</v>
      </c>
      <c r="G26" s="504">
        <v>6000000</v>
      </c>
      <c r="H26" s="504">
        <v>6000000</v>
      </c>
      <c r="I26" s="504">
        <v>4500000</v>
      </c>
    </row>
    <row r="27" spans="1:9" ht="11" thickBot="1" x14ac:dyDescent="0.3">
      <c r="A27" s="500" t="s">
        <v>22</v>
      </c>
      <c r="B27" s="501" t="s">
        <v>131</v>
      </c>
      <c r="C27" s="504">
        <v>1480497</v>
      </c>
      <c r="D27" s="504">
        <v>864791</v>
      </c>
      <c r="E27" s="504">
        <v>1168070</v>
      </c>
      <c r="F27" s="504">
        <v>1083154</v>
      </c>
      <c r="G27" s="504">
        <v>1266129</v>
      </c>
      <c r="H27" s="504">
        <v>1273123</v>
      </c>
      <c r="I27" s="504">
        <v>1185976</v>
      </c>
    </row>
    <row r="28" spans="1:9" ht="11" thickBot="1" x14ac:dyDescent="0.3">
      <c r="A28" s="500" t="s">
        <v>23</v>
      </c>
      <c r="B28" s="502" t="s">
        <v>23</v>
      </c>
      <c r="C28" s="504">
        <v>5397488</v>
      </c>
      <c r="D28" s="504">
        <v>718278</v>
      </c>
      <c r="E28" s="504">
        <v>1541510</v>
      </c>
      <c r="F28" s="504">
        <v>6590950</v>
      </c>
      <c r="G28" s="504">
        <v>1337683</v>
      </c>
      <c r="H28" s="504">
        <v>753686</v>
      </c>
      <c r="I28" s="504">
        <v>2182937</v>
      </c>
    </row>
    <row r="29" spans="1:9" ht="21.5" thickBot="1" x14ac:dyDescent="0.3">
      <c r="A29" s="500" t="s">
        <v>24</v>
      </c>
      <c r="B29" s="501" t="s">
        <v>125</v>
      </c>
      <c r="C29" s="504">
        <v>2900000</v>
      </c>
      <c r="D29" s="504">
        <v>2000000</v>
      </c>
      <c r="E29" s="504">
        <v>3500000</v>
      </c>
      <c r="F29" s="504">
        <v>3000000</v>
      </c>
      <c r="G29" s="504">
        <v>3000000</v>
      </c>
      <c r="H29" s="504">
        <v>2500000</v>
      </c>
      <c r="I29" s="504">
        <v>5000000</v>
      </c>
    </row>
    <row r="30" spans="1:9" ht="21.5" thickBot="1" x14ac:dyDescent="0.3">
      <c r="A30" s="500" t="s">
        <v>24</v>
      </c>
      <c r="B30" s="501" t="s">
        <v>126</v>
      </c>
      <c r="C30" s="504">
        <v>2100000</v>
      </c>
      <c r="D30" s="504">
        <v>2000000</v>
      </c>
      <c r="E30" s="504">
        <v>2500000</v>
      </c>
      <c r="F30" s="504">
        <v>3000000</v>
      </c>
      <c r="G30" s="504">
        <v>2200000</v>
      </c>
      <c r="H30" s="504">
        <v>2000000</v>
      </c>
      <c r="I30" s="504">
        <v>4000000</v>
      </c>
    </row>
    <row r="31" spans="1:9" ht="21.5" thickBot="1" x14ac:dyDescent="0.3">
      <c r="A31" s="500" t="s">
        <v>24</v>
      </c>
      <c r="B31" s="501" t="s">
        <v>127</v>
      </c>
      <c r="C31" s="504">
        <v>1800000</v>
      </c>
      <c r="D31" s="504">
        <v>1800000</v>
      </c>
      <c r="E31" s="504">
        <v>2000000</v>
      </c>
      <c r="F31" s="504">
        <v>2500000</v>
      </c>
      <c r="G31" s="504">
        <v>1083231</v>
      </c>
      <c r="H31" s="504">
        <v>1079000</v>
      </c>
      <c r="I31" s="504">
        <v>2314332</v>
      </c>
    </row>
    <row r="32" spans="1:9" ht="21.5" thickBot="1" x14ac:dyDescent="0.3">
      <c r="A32" s="500" t="s">
        <v>24</v>
      </c>
      <c r="B32" s="501" t="s">
        <v>132</v>
      </c>
      <c r="C32" s="504">
        <v>2391678</v>
      </c>
      <c r="D32" s="504">
        <v>2066807</v>
      </c>
      <c r="E32" s="504">
        <v>3697583</v>
      </c>
      <c r="F32" s="504">
        <v>4394551</v>
      </c>
      <c r="G32" s="504">
        <v>2600000</v>
      </c>
      <c r="H32" s="504">
        <v>1999753</v>
      </c>
      <c r="I32" s="504">
        <v>7000000</v>
      </c>
    </row>
    <row r="33" spans="1:9" ht="12.5" thickBot="1" x14ac:dyDescent="0.35">
      <c r="A33" s="503" t="s">
        <v>107</v>
      </c>
      <c r="B33" s="503" t="s">
        <v>107</v>
      </c>
      <c r="C33" s="505">
        <v>30506212</v>
      </c>
      <c r="D33" s="506">
        <v>31440760</v>
      </c>
      <c r="E33" s="506">
        <v>24000819</v>
      </c>
      <c r="F33" s="506">
        <v>35498354</v>
      </c>
      <c r="G33" s="506">
        <v>44893708</v>
      </c>
      <c r="H33" s="506">
        <v>47333780</v>
      </c>
      <c r="I33" s="507">
        <v>32589276</v>
      </c>
    </row>
    <row r="34" spans="1:9" ht="11" thickBot="1" x14ac:dyDescent="0.3">
      <c r="A34" s="500" t="s">
        <v>29</v>
      </c>
      <c r="B34" s="502" t="s">
        <v>29</v>
      </c>
      <c r="C34" s="504">
        <v>11513774</v>
      </c>
      <c r="D34" s="504">
        <v>12706881</v>
      </c>
      <c r="E34" s="504">
        <v>13046404</v>
      </c>
      <c r="F34" s="504">
        <v>15136198</v>
      </c>
      <c r="G34" s="504">
        <v>20142900</v>
      </c>
      <c r="H34" s="504">
        <v>19885724</v>
      </c>
      <c r="I34" s="504">
        <v>3971075</v>
      </c>
    </row>
    <row r="35" spans="1:9" ht="12.5" thickBot="1" x14ac:dyDescent="0.35">
      <c r="A35" s="503" t="s">
        <v>30</v>
      </c>
      <c r="B35" s="503" t="s">
        <v>30</v>
      </c>
      <c r="C35" s="505">
        <v>18992439</v>
      </c>
      <c r="D35" s="506">
        <v>18733879</v>
      </c>
      <c r="E35" s="506">
        <v>10954415</v>
      </c>
      <c r="F35" s="506">
        <v>20362156</v>
      </c>
      <c r="G35" s="506">
        <v>24750809</v>
      </c>
      <c r="H35" s="506">
        <v>27448056</v>
      </c>
      <c r="I35" s="507">
        <v>28618201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E29F1-301E-4550-8AA9-6EF2C9B959CE}">
  <sheetPr codeName="Hoja8"/>
  <dimension ref="C1:J41"/>
  <sheetViews>
    <sheetView zoomScale="55" zoomScaleNormal="55" workbookViewId="0">
      <selection activeCell="C17" sqref="C17"/>
    </sheetView>
  </sheetViews>
  <sheetFormatPr baseColWidth="10" defaultColWidth="18.90625" defaultRowHeight="15.5" x14ac:dyDescent="0.35"/>
  <cols>
    <col min="1" max="2" width="3.08984375" style="155" customWidth="1"/>
    <col min="3" max="3" width="59.6328125" style="155" customWidth="1"/>
    <col min="4" max="4" width="19.81640625" style="155" customWidth="1"/>
    <col min="5" max="10" width="19.81640625" style="155" bestFit="1" customWidth="1"/>
    <col min="11" max="16384" width="18.90625" style="155"/>
  </cols>
  <sheetData>
    <row r="1" spans="3:10" ht="20.25" customHeight="1" thickBot="1" x14ac:dyDescent="0.4"/>
    <row r="2" spans="3:10" ht="20.25" customHeight="1" thickBot="1" x14ac:dyDescent="0.5">
      <c r="C2" s="156" t="s">
        <v>43</v>
      </c>
      <c r="D2" s="157"/>
    </row>
    <row r="3" spans="3:10" ht="20.25" customHeight="1" thickBot="1" x14ac:dyDescent="0.45">
      <c r="C3" s="158"/>
      <c r="D3" s="159">
        <v>2018</v>
      </c>
      <c r="E3" s="160">
        <v>2019</v>
      </c>
      <c r="F3" s="160">
        <v>2020</v>
      </c>
      <c r="G3" s="160">
        <v>2021</v>
      </c>
      <c r="H3" s="160">
        <v>2022</v>
      </c>
      <c r="I3" s="160">
        <v>2023</v>
      </c>
      <c r="J3" s="160">
        <v>2024</v>
      </c>
    </row>
    <row r="4" spans="3:10" ht="18.5" thickBot="1" x14ac:dyDescent="0.4">
      <c r="C4" s="193" t="s">
        <v>2</v>
      </c>
      <c r="D4" s="194"/>
      <c r="E4" s="195"/>
      <c r="F4" s="195"/>
      <c r="G4" s="195"/>
      <c r="H4" s="195"/>
      <c r="I4" s="195"/>
      <c r="J4" s="195"/>
    </row>
    <row r="5" spans="3:10" x14ac:dyDescent="0.35">
      <c r="C5" s="196" t="s">
        <v>44</v>
      </c>
      <c r="D5" s="197">
        <v>29811732.636591394</v>
      </c>
      <c r="E5" s="198">
        <v>40873870.554226369</v>
      </c>
      <c r="F5" s="198">
        <v>25954456.918819956</v>
      </c>
      <c r="G5" s="198">
        <v>3154181.4972042916</v>
      </c>
      <c r="H5" s="199">
        <v>17742134.361534435</v>
      </c>
      <c r="I5" s="198">
        <v>20463806.970509384</v>
      </c>
      <c r="J5" s="200">
        <v>19822447.880606201</v>
      </c>
    </row>
    <row r="6" spans="3:10" x14ac:dyDescent="0.35">
      <c r="C6" s="201" t="s">
        <v>45</v>
      </c>
      <c r="D6" s="202">
        <v>33918098.889850296</v>
      </c>
      <c r="E6" s="203">
        <v>30335836.581327882</v>
      </c>
      <c r="F6" s="204">
        <v>29426197.303194199</v>
      </c>
      <c r="G6" s="204">
        <v>30454330.411148544</v>
      </c>
      <c r="H6" s="205">
        <v>43930603.090601891</v>
      </c>
      <c r="I6" s="204">
        <v>44009383.378016092</v>
      </c>
      <c r="J6" s="206">
        <v>45837064.389568426</v>
      </c>
    </row>
    <row r="7" spans="3:10" x14ac:dyDescent="0.35">
      <c r="C7" s="201" t="s">
        <v>46</v>
      </c>
      <c r="D7" s="202">
        <v>-294079.39012458781</v>
      </c>
      <c r="E7" s="204">
        <v>-713088.33680189739</v>
      </c>
      <c r="F7" s="204">
        <v>-661662.05495598668</v>
      </c>
      <c r="G7" s="204">
        <v>-224164.700727424</v>
      </c>
      <c r="H7" s="205">
        <v>-622852.5915533324</v>
      </c>
      <c r="I7" s="204">
        <v>-401809.65147453087</v>
      </c>
      <c r="J7" s="206">
        <v>-3729209.9392260942</v>
      </c>
    </row>
    <row r="8" spans="3:10" x14ac:dyDescent="0.35">
      <c r="C8" s="201" t="s">
        <v>47</v>
      </c>
      <c r="D8" s="202">
        <v>62059799.912907258</v>
      </c>
      <c r="E8" s="204">
        <v>60859027.521888286</v>
      </c>
      <c r="F8" s="204">
        <v>47180726.114543192</v>
      </c>
      <c r="G8" s="204">
        <v>36622034.818556778</v>
      </c>
      <c r="H8" s="205">
        <v>43651335.850515381</v>
      </c>
      <c r="I8" s="204">
        <v>37272788.203753352</v>
      </c>
      <c r="J8" s="206">
        <v>43553811.831679359</v>
      </c>
    </row>
    <row r="9" spans="3:10" ht="16" thickBot="1" x14ac:dyDescent="0.4">
      <c r="C9" s="207" t="s">
        <v>48</v>
      </c>
      <c r="D9" s="208">
        <v>85717921.311141655</v>
      </c>
      <c r="E9" s="209">
        <v>46407311.49089437</v>
      </c>
      <c r="F9" s="209">
        <v>10775101.778086154</v>
      </c>
      <c r="G9" s="209">
        <v>37385972.877976298</v>
      </c>
      <c r="H9" s="210">
        <v>11896851.07857807</v>
      </c>
      <c r="I9" s="209">
        <v>8742292.2252010722</v>
      </c>
      <c r="J9" s="211">
        <v>8697899.8384491112</v>
      </c>
    </row>
    <row r="10" spans="3:10" ht="19" thickTop="1" thickBot="1" x14ac:dyDescent="0.45">
      <c r="C10" s="212" t="s">
        <v>49</v>
      </c>
      <c r="D10" s="213">
        <v>211213473.36036602</v>
      </c>
      <c r="E10" s="214">
        <v>177762957.81153503</v>
      </c>
      <c r="F10" s="214">
        <v>112674820.05968753</v>
      </c>
      <c r="G10" s="214">
        <v>107392354.90415849</v>
      </c>
      <c r="H10" s="215">
        <v>116598071.78967644</v>
      </c>
      <c r="I10" s="214">
        <v>110086461.12600537</v>
      </c>
      <c r="J10" s="216">
        <v>114182014.00107701</v>
      </c>
    </row>
    <row r="11" spans="3:10" x14ac:dyDescent="0.35">
      <c r="C11" s="217" t="s">
        <v>50</v>
      </c>
      <c r="D11" s="202">
        <v>176013301.43703023</v>
      </c>
      <c r="E11" s="204">
        <v>154628586.84990373</v>
      </c>
      <c r="F11" s="204">
        <v>182616637.26875266</v>
      </c>
      <c r="G11" s="204">
        <v>143014538.95417324</v>
      </c>
      <c r="H11" s="205">
        <v>150560367.37972012</v>
      </c>
      <c r="I11" s="204">
        <v>167903485.25469169</v>
      </c>
      <c r="J11" s="206">
        <v>146685745.0573121</v>
      </c>
    </row>
    <row r="12" spans="3:10" x14ac:dyDescent="0.35">
      <c r="C12" s="201" t="s">
        <v>51</v>
      </c>
      <c r="D12" s="202">
        <v>31517393.099314004</v>
      </c>
      <c r="E12" s="204">
        <v>25047357.576952819</v>
      </c>
      <c r="F12" s="204">
        <v>27168.688295729084</v>
      </c>
      <c r="G12" s="204">
        <v>66677.885485494393</v>
      </c>
      <c r="H12" s="205">
        <v>0</v>
      </c>
      <c r="I12" s="204">
        <v>0</v>
      </c>
      <c r="J12" s="206">
        <v>6403261.7893684134</v>
      </c>
    </row>
    <row r="13" spans="3:10" x14ac:dyDescent="0.35">
      <c r="C13" s="201" t="s">
        <v>52</v>
      </c>
      <c r="D13" s="202">
        <v>217105806.37134308</v>
      </c>
      <c r="E13" s="204">
        <v>164310811.021211</v>
      </c>
      <c r="F13" s="204">
        <v>16286165.703919813</v>
      </c>
      <c r="G13" s="204">
        <v>12899948.245260313</v>
      </c>
      <c r="H13" s="205">
        <v>10905085.796361528</v>
      </c>
      <c r="I13" s="204">
        <v>9960455.7640750669</v>
      </c>
      <c r="J13" s="206">
        <v>22195245.788137548</v>
      </c>
    </row>
    <row r="14" spans="3:10" x14ac:dyDescent="0.35">
      <c r="C14" s="201" t="s">
        <v>53</v>
      </c>
      <c r="D14" s="202">
        <v>21891948.445620764</v>
      </c>
      <c r="E14" s="204">
        <v>21273283.060778584</v>
      </c>
      <c r="F14" s="204">
        <v>14962841.59400784</v>
      </c>
      <c r="G14" s="204">
        <v>15604530.286048129</v>
      </c>
      <c r="H14" s="205">
        <v>15676289.944713086</v>
      </c>
      <c r="I14" s="204">
        <v>16330764.075067023</v>
      </c>
      <c r="J14" s="206">
        <v>16584352.642510962</v>
      </c>
    </row>
    <row r="15" spans="3:10" ht="16" thickBot="1" x14ac:dyDescent="0.4">
      <c r="C15" s="207" t="s">
        <v>54</v>
      </c>
      <c r="D15" s="208">
        <v>1386697.431895172</v>
      </c>
      <c r="E15" s="209">
        <v>52392271.243441299</v>
      </c>
      <c r="F15" s="209">
        <v>34464944.032502107</v>
      </c>
      <c r="G15" s="209">
        <v>43520338.342641778</v>
      </c>
      <c r="H15" s="210">
        <v>25639265.373861518</v>
      </c>
      <c r="I15" s="209">
        <v>37362600.536193028</v>
      </c>
      <c r="J15" s="211">
        <v>25957996.768982232</v>
      </c>
    </row>
    <row r="16" spans="3:10" ht="19" thickTop="1" thickBot="1" x14ac:dyDescent="0.45">
      <c r="C16" s="212" t="s">
        <v>55</v>
      </c>
      <c r="D16" s="213">
        <v>659128620.14556921</v>
      </c>
      <c r="E16" s="214">
        <v>595415267.56382251</v>
      </c>
      <c r="F16" s="214">
        <v>361032577.34716564</v>
      </c>
      <c r="G16" s="214">
        <v>322498388.61776745</v>
      </c>
      <c r="H16" s="215">
        <v>319379080.28433269</v>
      </c>
      <c r="I16" s="214">
        <v>341643766.75603217</v>
      </c>
      <c r="J16" s="216">
        <v>332008616.04738826</v>
      </c>
    </row>
    <row r="17" spans="3:10" ht="18.5" thickBot="1" x14ac:dyDescent="0.4">
      <c r="C17" s="193" t="s">
        <v>3</v>
      </c>
      <c r="D17" s="218"/>
      <c r="E17" s="219"/>
      <c r="F17" s="219"/>
      <c r="G17" s="219"/>
      <c r="H17" s="219"/>
      <c r="I17" s="219"/>
      <c r="J17" s="219"/>
    </row>
    <row r="18" spans="3:10" x14ac:dyDescent="0.35">
      <c r="C18" s="196" t="s">
        <v>56</v>
      </c>
      <c r="D18" s="220">
        <v>27945459.583877664</v>
      </c>
      <c r="E18" s="221">
        <v>24923319.649372283</v>
      </c>
      <c r="F18" s="221">
        <v>27679041.655868854</v>
      </c>
      <c r="G18" s="221">
        <v>23796384.788551725</v>
      </c>
      <c r="H18" s="222">
        <v>25381659.67387718</v>
      </c>
      <c r="I18" s="221">
        <v>22456769.436997321</v>
      </c>
      <c r="J18" s="223">
        <v>29259789.214554965</v>
      </c>
    </row>
    <row r="19" spans="3:10" x14ac:dyDescent="0.35">
      <c r="C19" s="201" t="s">
        <v>57</v>
      </c>
      <c r="D19" s="224">
        <v>28616186.808277201</v>
      </c>
      <c r="E19" s="225">
        <v>19150625.639002923</v>
      </c>
      <c r="F19" s="225">
        <v>10220024.577213412</v>
      </c>
      <c r="G19" s="225">
        <v>8904990.3634579796</v>
      </c>
      <c r="H19" s="226">
        <v>19045492.566759203</v>
      </c>
      <c r="I19" s="225">
        <v>23798257.372654155</v>
      </c>
      <c r="J19" s="227">
        <v>21871220.863143317</v>
      </c>
    </row>
    <row r="20" spans="3:10" x14ac:dyDescent="0.35">
      <c r="C20" s="201" t="s">
        <v>58</v>
      </c>
      <c r="D20" s="224">
        <v>0</v>
      </c>
      <c r="E20" s="225">
        <v>0</v>
      </c>
      <c r="F20" s="225">
        <v>0</v>
      </c>
      <c r="G20" s="225">
        <v>0</v>
      </c>
      <c r="H20" s="226">
        <v>0</v>
      </c>
      <c r="I20" s="225">
        <v>0</v>
      </c>
      <c r="J20" s="227">
        <v>38613739.518424496</v>
      </c>
    </row>
    <row r="21" spans="3:10" x14ac:dyDescent="0.35">
      <c r="C21" s="201" t="s">
        <v>59</v>
      </c>
      <c r="D21" s="224">
        <v>0</v>
      </c>
      <c r="E21" s="225">
        <v>0</v>
      </c>
      <c r="F21" s="225">
        <v>0</v>
      </c>
      <c r="G21" s="225">
        <v>0</v>
      </c>
      <c r="H21" s="226">
        <v>0</v>
      </c>
      <c r="I21" s="225">
        <v>0</v>
      </c>
      <c r="J21" s="227">
        <v>0</v>
      </c>
    </row>
    <row r="22" spans="3:10" x14ac:dyDescent="0.35">
      <c r="C22" s="201" t="s">
        <v>60</v>
      </c>
      <c r="D22" s="224">
        <v>3817942.236021332</v>
      </c>
      <c r="E22" s="225">
        <v>3892922.5723078842</v>
      </c>
      <c r="F22" s="225">
        <v>3135266.6293271356</v>
      </c>
      <c r="G22" s="225">
        <v>2905250.7247251123</v>
      </c>
      <c r="H22" s="226">
        <v>26359761.523106199</v>
      </c>
      <c r="I22" s="225">
        <v>11493967.828418231</v>
      </c>
      <c r="J22" s="227">
        <v>20623432.571736287</v>
      </c>
    </row>
    <row r="23" spans="3:10" ht="16" thickBot="1" x14ac:dyDescent="0.4">
      <c r="C23" s="207" t="s">
        <v>61</v>
      </c>
      <c r="D23" s="228">
        <v>96063860.470640138</v>
      </c>
      <c r="E23" s="229">
        <v>86536435.492492855</v>
      </c>
      <c r="F23" s="229">
        <v>54682209.942903951</v>
      </c>
      <c r="G23" s="229">
        <v>58734644.241729565</v>
      </c>
      <c r="H23" s="230">
        <v>60326722.67563343</v>
      </c>
      <c r="I23" s="229">
        <v>71124664.879356578</v>
      </c>
      <c r="J23" s="231">
        <v>72289868.451419339</v>
      </c>
    </row>
    <row r="24" spans="3:10" ht="19" thickTop="1" thickBot="1" x14ac:dyDescent="0.4">
      <c r="C24" s="212" t="s">
        <v>62</v>
      </c>
      <c r="D24" s="232">
        <v>156443449.09881634</v>
      </c>
      <c r="E24" s="233">
        <v>134503303.35317594</v>
      </c>
      <c r="F24" s="233">
        <v>95716542.805313349</v>
      </c>
      <c r="G24" s="233">
        <v>94341270.118464381</v>
      </c>
      <c r="H24" s="234">
        <v>131113636.43937603</v>
      </c>
      <c r="I24" s="233">
        <v>128873659.51742627</v>
      </c>
      <c r="J24" s="235">
        <v>182658050.6192784</v>
      </c>
    </row>
    <row r="25" spans="3:10" x14ac:dyDescent="0.35">
      <c r="C25" s="196" t="s">
        <v>63</v>
      </c>
      <c r="D25" s="224">
        <v>199221255.15345854</v>
      </c>
      <c r="E25" s="225">
        <v>212132881.46852604</v>
      </c>
      <c r="F25" s="225">
        <v>183857619.35413757</v>
      </c>
      <c r="G25" s="225">
        <v>161657675.73591748</v>
      </c>
      <c r="H25" s="226">
        <v>151371175.48846772</v>
      </c>
      <c r="I25" s="225">
        <v>148256702.41286865</v>
      </c>
      <c r="J25" s="227">
        <v>88686206.631279334</v>
      </c>
    </row>
    <row r="26" spans="3:10" ht="16" thickBot="1" x14ac:dyDescent="0.4">
      <c r="C26" s="207" t="s">
        <v>64</v>
      </c>
      <c r="D26" s="228">
        <v>475051.32250894961</v>
      </c>
      <c r="E26" s="229">
        <v>3991011.1426539966</v>
      </c>
      <c r="F26" s="229">
        <v>15526278.391279269</v>
      </c>
      <c r="G26" s="229">
        <v>11582583.73631119</v>
      </c>
      <c r="H26" s="230">
        <v>16320137.567442372</v>
      </c>
      <c r="I26" s="229">
        <v>15993632.707774799</v>
      </c>
      <c r="J26" s="231">
        <v>10072774.828832988</v>
      </c>
    </row>
    <row r="27" spans="3:10" ht="19" thickTop="1" thickBot="1" x14ac:dyDescent="0.4">
      <c r="C27" s="236" t="s">
        <v>65</v>
      </c>
      <c r="D27" s="237">
        <v>199696306.4759675</v>
      </c>
      <c r="E27" s="238">
        <v>216123892.61118004</v>
      </c>
      <c r="F27" s="238">
        <v>199383897.74541685</v>
      </c>
      <c r="G27" s="238">
        <v>173240259.47222868</v>
      </c>
      <c r="H27" s="239">
        <v>167691313.05591008</v>
      </c>
      <c r="I27" s="238">
        <v>164250335.12064344</v>
      </c>
      <c r="J27" s="240">
        <v>98758981.460112303</v>
      </c>
    </row>
    <row r="28" spans="3:10" ht="18.5" thickBot="1" x14ac:dyDescent="0.4">
      <c r="C28" s="193" t="s">
        <v>66</v>
      </c>
      <c r="D28" s="232">
        <v>356139755.5747838</v>
      </c>
      <c r="E28" s="233">
        <v>350627195.96435595</v>
      </c>
      <c r="F28" s="233">
        <v>295100440.55073017</v>
      </c>
      <c r="G28" s="233">
        <v>267581529.59069303</v>
      </c>
      <c r="H28" s="234">
        <v>298804949.49528611</v>
      </c>
      <c r="I28" s="233">
        <v>293123994.63806969</v>
      </c>
      <c r="J28" s="235">
        <v>281417032.0793907</v>
      </c>
    </row>
    <row r="29" spans="3:10" ht="18.5" thickBot="1" x14ac:dyDescent="0.4">
      <c r="C29" s="193" t="s">
        <v>4</v>
      </c>
      <c r="D29" s="218"/>
      <c r="E29" s="219"/>
      <c r="F29" s="219"/>
      <c r="G29" s="219"/>
      <c r="H29" s="219"/>
      <c r="I29" s="219"/>
      <c r="J29" s="219"/>
    </row>
    <row r="30" spans="3:10" x14ac:dyDescent="0.35">
      <c r="C30" s="196" t="s">
        <v>67</v>
      </c>
      <c r="D30" s="220">
        <v>8854051.7919048984</v>
      </c>
      <c r="E30" s="221">
        <v>8125262.7372419983</v>
      </c>
      <c r="F30" s="221">
        <v>6543892.0608913004</v>
      </c>
      <c r="G30" s="221">
        <v>4971947.6610350311</v>
      </c>
      <c r="H30" s="222">
        <v>5218431.637845709</v>
      </c>
      <c r="I30" s="221">
        <v>5247654.1554959789</v>
      </c>
      <c r="J30" s="223">
        <v>4818524.5018847603</v>
      </c>
    </row>
    <row r="31" spans="3:10" x14ac:dyDescent="0.35">
      <c r="C31" s="201" t="s">
        <v>68</v>
      </c>
      <c r="D31" s="224">
        <v>13903734.242717294</v>
      </c>
      <c r="E31" s="225">
        <v>11760767.685784424</v>
      </c>
      <c r="F31" s="225">
        <v>18100616.102254584</v>
      </c>
      <c r="G31" s="225">
        <v>13776603.682524363</v>
      </c>
      <c r="H31" s="226">
        <v>14459577.899897024</v>
      </c>
      <c r="I31" s="225">
        <v>14540549.597855227</v>
      </c>
      <c r="J31" s="227">
        <v>13351488.57604431</v>
      </c>
    </row>
    <row r="32" spans="3:10" x14ac:dyDescent="0.35">
      <c r="C32" s="201" t="s">
        <v>69</v>
      </c>
      <c r="D32" s="224">
        <v>251555510.31257248</v>
      </c>
      <c r="E32" s="225">
        <v>195424090.34528217</v>
      </c>
      <c r="F32" s="225">
        <v>20066375.195405565</v>
      </c>
      <c r="G32" s="225">
        <v>6757009.9096038388</v>
      </c>
      <c r="H32" s="226">
        <v>7271945.6395319775</v>
      </c>
      <c r="I32" s="225">
        <v>7564678.2841823064</v>
      </c>
      <c r="J32" s="227">
        <v>-11120547.734441111</v>
      </c>
    </row>
    <row r="33" spans="3:10" x14ac:dyDescent="0.35">
      <c r="C33" s="201" t="s">
        <v>70</v>
      </c>
      <c r="D33" s="224">
        <v>9683129.4571407568</v>
      </c>
      <c r="E33" s="225">
        <v>10744071.869339796</v>
      </c>
      <c r="F33" s="225">
        <v>10266838.317046054</v>
      </c>
      <c r="G33" s="225">
        <v>9049141.6016028114</v>
      </c>
      <c r="H33" s="226">
        <v>-31126633.363437321</v>
      </c>
      <c r="I33" s="225">
        <v>-6281166.2198391426</v>
      </c>
      <c r="J33" s="227">
        <v>14923917.224401878</v>
      </c>
    </row>
    <row r="34" spans="3:10" ht="16" thickBot="1" x14ac:dyDescent="0.4">
      <c r="C34" s="207" t="s">
        <v>30</v>
      </c>
      <c r="D34" s="228">
        <v>18992438.766450062</v>
      </c>
      <c r="E34" s="229">
        <v>18733878.961818118</v>
      </c>
      <c r="F34" s="229">
        <v>10954415.120837966</v>
      </c>
      <c r="G34" s="229">
        <v>20362156.172308356</v>
      </c>
      <c r="H34" s="230">
        <v>24750808.975209199</v>
      </c>
      <c r="I34" s="229">
        <v>27448056.300268095</v>
      </c>
      <c r="J34" s="231">
        <v>28618201.4001077</v>
      </c>
    </row>
    <row r="35" spans="3:10" ht="19" thickTop="1" thickBot="1" x14ac:dyDescent="0.4">
      <c r="C35" s="212" t="s">
        <v>71</v>
      </c>
      <c r="D35" s="232">
        <v>302988864.57078552</v>
      </c>
      <c r="E35" s="233">
        <v>244788071.5994665</v>
      </c>
      <c r="F35" s="233">
        <v>65932136.796435475</v>
      </c>
      <c r="G35" s="233">
        <v>54916859.027074404</v>
      </c>
      <c r="H35" s="234">
        <v>20574130.789046593</v>
      </c>
      <c r="I35" s="233">
        <v>48519772.117962465</v>
      </c>
      <c r="J35" s="235">
        <v>50591583.967997536</v>
      </c>
    </row>
    <row r="36" spans="3:10" ht="18.5" thickBot="1" x14ac:dyDescent="0.4">
      <c r="C36" s="193" t="s">
        <v>72</v>
      </c>
      <c r="D36" s="242">
        <v>659128620.14556921</v>
      </c>
      <c r="E36" s="243">
        <v>595415267.56382251</v>
      </c>
      <c r="F36" s="243">
        <v>361032577.34716564</v>
      </c>
      <c r="G36" s="243">
        <v>322498388.61776745</v>
      </c>
      <c r="H36" s="244">
        <v>319379080.28433269</v>
      </c>
      <c r="I36" s="243">
        <v>341643766.75603217</v>
      </c>
      <c r="J36" s="245">
        <v>332008616.04738826</v>
      </c>
    </row>
    <row r="37" spans="3:10" x14ac:dyDescent="0.35">
      <c r="D37" s="192"/>
      <c r="E37" s="246"/>
    </row>
    <row r="38" spans="3:10" x14ac:dyDescent="0.35">
      <c r="E38" s="246"/>
    </row>
    <row r="39" spans="3:10" x14ac:dyDescent="0.35">
      <c r="E39" s="246"/>
    </row>
    <row r="40" spans="3:10" x14ac:dyDescent="0.35">
      <c r="E40" s="246"/>
    </row>
    <row r="41" spans="3:10" x14ac:dyDescent="0.35">
      <c r="E41" s="2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BA5A7-0A69-4698-8C50-657A557E4BC6}">
  <sheetPr codeName="Hoja3"/>
  <dimension ref="B1:K35"/>
  <sheetViews>
    <sheetView zoomScale="55" zoomScaleNormal="55" workbookViewId="0">
      <selection sqref="A1:XFD1048576"/>
    </sheetView>
  </sheetViews>
  <sheetFormatPr baseColWidth="10" defaultColWidth="8.1796875" defaultRowHeight="15.5" x14ac:dyDescent="0.35"/>
  <cols>
    <col min="1" max="1" width="3.08984375" style="155" customWidth="1"/>
    <col min="2" max="2" width="5.08984375" style="402" customWidth="1"/>
    <col min="3" max="3" width="55.6328125" style="155" bestFit="1" customWidth="1"/>
    <col min="4" max="4" width="1.453125" style="155" customWidth="1"/>
    <col min="5" max="5" width="16.36328125" style="155" customWidth="1"/>
    <col min="6" max="6" width="17.26953125" style="155" bestFit="1" customWidth="1"/>
    <col min="7" max="10" width="16.36328125" style="155" bestFit="1" customWidth="1"/>
    <col min="11" max="16384" width="8.1796875" style="155"/>
  </cols>
  <sheetData>
    <row r="1" spans="2:10" ht="20.25" customHeight="1" thickBot="1" x14ac:dyDescent="0.4">
      <c r="B1" s="396"/>
    </row>
    <row r="2" spans="2:10" ht="20.25" customHeight="1" thickBot="1" x14ac:dyDescent="0.5">
      <c r="B2" s="396"/>
      <c r="C2" s="397" t="s">
        <v>77</v>
      </c>
    </row>
    <row r="3" spans="2:10" ht="20.25" customHeight="1" thickBot="1" x14ac:dyDescent="0.45">
      <c r="B3" s="396"/>
      <c r="C3" s="158"/>
      <c r="D3" s="398"/>
      <c r="E3" s="399">
        <v>2019</v>
      </c>
      <c r="F3" s="299">
        <v>2020</v>
      </c>
      <c r="G3" s="299">
        <v>2021</v>
      </c>
      <c r="H3" s="299">
        <v>2022</v>
      </c>
      <c r="I3" s="299">
        <v>2023</v>
      </c>
      <c r="J3" s="299">
        <v>2024</v>
      </c>
    </row>
    <row r="4" spans="2:10" ht="5.25" customHeight="1" thickBot="1" x14ac:dyDescent="0.4">
      <c r="B4" s="155"/>
      <c r="C4" s="400"/>
      <c r="D4" s="400"/>
      <c r="E4" s="400"/>
      <c r="F4" s="400"/>
      <c r="G4" s="400"/>
      <c r="H4" s="401"/>
      <c r="I4" s="401"/>
      <c r="J4" s="401"/>
    </row>
    <row r="5" spans="2:10" ht="16" thickBot="1" x14ac:dyDescent="0.4">
      <c r="C5" s="403">
        <v>0</v>
      </c>
      <c r="J5" s="404"/>
    </row>
    <row r="6" spans="2:10" x14ac:dyDescent="0.35">
      <c r="C6" s="405" t="s">
        <v>78</v>
      </c>
      <c r="D6" s="406"/>
      <c r="E6" s="407">
        <v>85071853.770182118</v>
      </c>
      <c r="F6" s="407">
        <v>75025705.758925945</v>
      </c>
      <c r="G6" s="407">
        <v>73289474.101991773</v>
      </c>
      <c r="H6" s="407">
        <v>88357088.822312057</v>
      </c>
      <c r="I6" s="407">
        <v>89867962.466487944</v>
      </c>
      <c r="J6" s="407">
        <v>81407185.168089852</v>
      </c>
    </row>
    <row r="7" spans="2:10" ht="16" thickBot="1" x14ac:dyDescent="0.4">
      <c r="B7" s="408"/>
      <c r="C7" s="409" t="s">
        <v>79</v>
      </c>
      <c r="D7" s="400"/>
      <c r="E7" s="410">
        <v>1278265.3373675933</v>
      </c>
      <c r="F7" s="410">
        <v>34382054.896900661</v>
      </c>
      <c r="G7" s="410">
        <v>769653.30674684956</v>
      </c>
      <c r="H7" s="410">
        <v>713497.80551936035</v>
      </c>
      <c r="I7" s="410">
        <v>382372.65415549598</v>
      </c>
      <c r="J7" s="410">
        <v>2274021.0785445035</v>
      </c>
    </row>
    <row r="8" spans="2:10" s="251" customFormat="1" ht="19" thickTop="1" thickBot="1" x14ac:dyDescent="0.4">
      <c r="B8" s="396"/>
      <c r="C8" s="411" t="s">
        <v>80</v>
      </c>
      <c r="D8" s="412"/>
      <c r="E8" s="413">
        <v>83793588.432814524</v>
      </c>
      <c r="F8" s="414">
        <v>40643650.862025283</v>
      </c>
      <c r="G8" s="415">
        <v>72519820.795244917</v>
      </c>
      <c r="H8" s="416">
        <v>87643591.0167927</v>
      </c>
      <c r="I8" s="416">
        <v>89485589.812332451</v>
      </c>
      <c r="J8" s="417">
        <v>79133164.089545354</v>
      </c>
    </row>
    <row r="9" spans="2:10" x14ac:dyDescent="0.35">
      <c r="C9" s="418" t="s">
        <v>81</v>
      </c>
      <c r="E9" s="419">
        <v>-7281970.9943370484</v>
      </c>
      <c r="F9" s="419">
        <v>-5881954.8307713512</v>
      </c>
      <c r="G9" s="419">
        <v>6990714.6463361662</v>
      </c>
      <c r="H9" s="419">
        <v>19051512.476853739</v>
      </c>
      <c r="I9" s="419">
        <v>72180.315672039986</v>
      </c>
      <c r="J9" s="419">
        <v>6473445.6011980213</v>
      </c>
    </row>
    <row r="10" spans="2:10" x14ac:dyDescent="0.35">
      <c r="C10" s="424" t="s">
        <v>82</v>
      </c>
      <c r="D10" s="425"/>
      <c r="E10" s="426">
        <v>-4001271.2551997229</v>
      </c>
      <c r="F10" s="426">
        <v>-858212.99628777057</v>
      </c>
      <c r="G10" s="426">
        <v>1465630.4621829055</v>
      </c>
      <c r="H10" s="426">
        <v>13077584.788627442</v>
      </c>
      <c r="I10" s="426">
        <v>299823.22749300301</v>
      </c>
      <c r="J10" s="426">
        <v>-1499719.2761992291</v>
      </c>
    </row>
    <row r="11" spans="2:10" x14ac:dyDescent="0.35">
      <c r="C11" s="429" t="s">
        <v>83</v>
      </c>
      <c r="D11" s="425"/>
      <c r="E11" s="430">
        <v>-258559.80463194475</v>
      </c>
      <c r="F11" s="430">
        <v>-7779463.8409801517</v>
      </c>
      <c r="G11" s="430">
        <v>9407741.0514703896</v>
      </c>
      <c r="H11" s="430">
        <v>4388652.8029008433</v>
      </c>
      <c r="I11" s="430">
        <v>2697247.3250588961</v>
      </c>
      <c r="J11" s="430">
        <v>1170145.0998396054</v>
      </c>
    </row>
    <row r="12" spans="2:10" x14ac:dyDescent="0.35">
      <c r="C12" s="433" t="s">
        <v>84</v>
      </c>
      <c r="D12" s="425"/>
      <c r="E12" s="434">
        <v>-3022139.9345053807</v>
      </c>
      <c r="F12" s="434">
        <v>2755722.006496571</v>
      </c>
      <c r="G12" s="434">
        <v>-3882656.8673171289</v>
      </c>
      <c r="H12" s="434">
        <v>1585274.8853254542</v>
      </c>
      <c r="I12" s="434">
        <v>-2924890.2368798591</v>
      </c>
      <c r="J12" s="434">
        <v>6803019.777557645</v>
      </c>
    </row>
    <row r="13" spans="2:10" ht="16" thickBot="1" x14ac:dyDescent="0.4">
      <c r="C13" s="437" t="s">
        <v>85</v>
      </c>
      <c r="D13" s="400"/>
      <c r="E13" s="438">
        <v>11658527.218280805</v>
      </c>
      <c r="F13" s="438">
        <v>13215267.966862561</v>
      </c>
      <c r="G13" s="438">
        <v>21244526.856899731</v>
      </c>
      <c r="H13" s="438">
        <v>17137610.765452176</v>
      </c>
      <c r="I13" s="438">
        <v>34405160.857908845</v>
      </c>
      <c r="J13" s="438">
        <v>10053081.006231248</v>
      </c>
    </row>
    <row r="14" spans="2:10" s="251" customFormat="1" ht="19" thickTop="1" thickBot="1" x14ac:dyDescent="0.4">
      <c r="B14" s="396"/>
      <c r="C14" s="439" t="s">
        <v>86</v>
      </c>
      <c r="D14" s="440"/>
      <c r="E14" s="441">
        <v>79417032.208870769</v>
      </c>
      <c r="F14" s="414">
        <v>33310337.725934073</v>
      </c>
      <c r="G14" s="414">
        <v>44284579.292009018</v>
      </c>
      <c r="H14" s="414">
        <v>51454467.77448678</v>
      </c>
      <c r="I14" s="414">
        <v>55008248.638751566</v>
      </c>
      <c r="J14" s="417">
        <v>62606637.482116088</v>
      </c>
    </row>
    <row r="15" spans="2:10" x14ac:dyDescent="0.35">
      <c r="C15" s="442" t="s">
        <v>87</v>
      </c>
      <c r="D15" s="400"/>
      <c r="E15" s="443">
        <v>17364790.874130048</v>
      </c>
      <c r="F15" s="443">
        <v>15168069.685595579</v>
      </c>
      <c r="G15" s="443">
        <v>13083153.673475219</v>
      </c>
      <c r="H15" s="443">
        <v>17766128.682878386</v>
      </c>
      <c r="I15" s="443">
        <v>16773123.324396782</v>
      </c>
      <c r="J15" s="443">
        <v>13685975.844295716</v>
      </c>
    </row>
    <row r="16" spans="2:10" ht="16" thickBot="1" x14ac:dyDescent="0.4">
      <c r="C16" s="444" t="s">
        <v>88</v>
      </c>
      <c r="D16" s="400"/>
      <c r="E16" s="438">
        <v>0</v>
      </c>
      <c r="F16" s="438">
        <v>0</v>
      </c>
      <c r="G16" s="438">
        <v>0</v>
      </c>
      <c r="H16" s="438">
        <v>0</v>
      </c>
      <c r="I16" s="438">
        <v>0</v>
      </c>
      <c r="J16" s="438">
        <v>38613739.518424496</v>
      </c>
    </row>
    <row r="17" spans="2:11" s="251" customFormat="1" ht="19" thickTop="1" thickBot="1" x14ac:dyDescent="0.4">
      <c r="B17" s="396"/>
      <c r="C17" s="439" t="s">
        <v>89</v>
      </c>
      <c r="D17" s="440"/>
      <c r="E17" s="441">
        <v>62052241.334740721</v>
      </c>
      <c r="F17" s="414">
        <v>18142268.040338494</v>
      </c>
      <c r="G17" s="414">
        <v>31201425.618533798</v>
      </c>
      <c r="H17" s="414">
        <v>33688339.09160839</v>
      </c>
      <c r="I17" s="414">
        <v>38235125.314354785</v>
      </c>
      <c r="J17" s="417">
        <v>10306922.119395874</v>
      </c>
    </row>
    <row r="18" spans="2:11" ht="16" thickBot="1" x14ac:dyDescent="0.4">
      <c r="C18" s="445" t="s">
        <v>90</v>
      </c>
      <c r="D18" s="400"/>
      <c r="E18" s="446">
        <v>15571171.302086847</v>
      </c>
      <c r="F18" s="446">
        <v>12540648.53748861</v>
      </c>
      <c r="G18" s="446">
        <v>11621002.898900449</v>
      </c>
      <c r="H18" s="446">
        <v>13546793.925437646</v>
      </c>
      <c r="I18" s="446">
        <v>15013069.705093835</v>
      </c>
      <c r="J18" s="446">
        <v>14783598.73836449</v>
      </c>
    </row>
    <row r="19" spans="2:11" s="251" customFormat="1" ht="19.5" customHeight="1" thickTop="1" thickBot="1" x14ac:dyDescent="0.4">
      <c r="B19" s="396"/>
      <c r="C19" s="439" t="s">
        <v>91</v>
      </c>
      <c r="D19" s="440"/>
      <c r="E19" s="441">
        <v>46481070.032653876</v>
      </c>
      <c r="F19" s="414">
        <v>5601619.5028498843</v>
      </c>
      <c r="G19" s="414">
        <v>19580422.719633348</v>
      </c>
      <c r="H19" s="414">
        <v>20141545.166170746</v>
      </c>
      <c r="I19" s="414">
        <v>23222055.60926095</v>
      </c>
      <c r="J19" s="417">
        <v>-4476676.6189686153</v>
      </c>
    </row>
    <row r="20" spans="2:11" ht="5.25" customHeight="1" thickBot="1" x14ac:dyDescent="0.4">
      <c r="B20" s="408"/>
      <c r="K20" s="157"/>
    </row>
    <row r="21" spans="2:11" s="157" customFormat="1" ht="16" thickBot="1" x14ac:dyDescent="0.4">
      <c r="B21" s="408"/>
      <c r="C21" s="403" t="s">
        <v>92</v>
      </c>
      <c r="D21" s="155"/>
      <c r="E21" s="155"/>
      <c r="F21" s="155"/>
      <c r="G21" s="155"/>
      <c r="H21" s="155"/>
      <c r="I21" s="155"/>
      <c r="J21" s="155"/>
    </row>
    <row r="22" spans="2:11" x14ac:dyDescent="0.35">
      <c r="C22" s="418" t="s">
        <v>78</v>
      </c>
      <c r="E22" s="419">
        <v>85071853.770182118</v>
      </c>
      <c r="F22" s="420">
        <v>75025705.758925945</v>
      </c>
      <c r="G22" s="421">
        <v>73289474.101991773</v>
      </c>
      <c r="H22" s="422">
        <v>88357088.822312057</v>
      </c>
      <c r="I22" s="422">
        <v>89867962.466487944</v>
      </c>
      <c r="J22" s="423">
        <v>81407185.168089852</v>
      </c>
    </row>
    <row r="23" spans="2:11" ht="16" thickBot="1" x14ac:dyDescent="0.4">
      <c r="B23" s="408"/>
      <c r="C23" s="447" t="s">
        <v>93</v>
      </c>
      <c r="E23" s="189">
        <v>1278265.3373675933</v>
      </c>
      <c r="F23" s="190">
        <v>34382054.896900661</v>
      </c>
      <c r="G23" s="448">
        <v>769653.30674684956</v>
      </c>
      <c r="H23" s="449">
        <v>713497.80551936035</v>
      </c>
      <c r="I23" s="449">
        <v>382372.65415549598</v>
      </c>
      <c r="J23" s="191">
        <v>2274021.0785445035</v>
      </c>
    </row>
    <row r="24" spans="2:11" s="251" customFormat="1" ht="19" thickTop="1" thickBot="1" x14ac:dyDescent="0.4">
      <c r="B24" s="450"/>
      <c r="C24" s="411" t="s">
        <v>80</v>
      </c>
      <c r="D24" s="412"/>
      <c r="E24" s="413">
        <v>83793588.432814524</v>
      </c>
      <c r="F24" s="414">
        <v>40643650.862025283</v>
      </c>
      <c r="G24" s="415">
        <v>72519820.795244917</v>
      </c>
      <c r="H24" s="416">
        <v>87643591.0167927</v>
      </c>
      <c r="I24" s="416">
        <v>89485589.812332451</v>
      </c>
      <c r="J24" s="417">
        <v>79133164.089545354</v>
      </c>
    </row>
    <row r="25" spans="2:11" x14ac:dyDescent="0.35">
      <c r="B25" s="408"/>
      <c r="C25" s="418" t="s">
        <v>94</v>
      </c>
      <c r="E25" s="419">
        <v>-7281970.9943370484</v>
      </c>
      <c r="F25" s="420">
        <v>-5881954.8307713512</v>
      </c>
      <c r="G25" s="421">
        <v>6990714.6463361662</v>
      </c>
      <c r="H25" s="422">
        <v>19051512.476853739</v>
      </c>
      <c r="I25" s="422">
        <v>72180.315672039986</v>
      </c>
      <c r="J25" s="423">
        <v>6473445.6011980213</v>
      </c>
    </row>
    <row r="26" spans="2:11" x14ac:dyDescent="0.35">
      <c r="B26" s="408"/>
      <c r="C26" s="424" t="s">
        <v>82</v>
      </c>
      <c r="D26" s="425"/>
      <c r="E26" s="426">
        <v>-4001271.2551997229</v>
      </c>
      <c r="F26" s="427">
        <v>-858212.99628777057</v>
      </c>
      <c r="G26" s="427">
        <v>1465630.4621829055</v>
      </c>
      <c r="H26" s="427">
        <v>13077584.788627442</v>
      </c>
      <c r="I26" s="427">
        <v>299823.22749300301</v>
      </c>
      <c r="J26" s="428">
        <v>-1499719.2761992291</v>
      </c>
    </row>
    <row r="27" spans="2:11" x14ac:dyDescent="0.35">
      <c r="B27" s="408"/>
      <c r="C27" s="429" t="s">
        <v>83</v>
      </c>
      <c r="D27" s="425"/>
      <c r="E27" s="430">
        <v>-258559.80463194475</v>
      </c>
      <c r="F27" s="431">
        <v>-7779463.8409801517</v>
      </c>
      <c r="G27" s="431">
        <v>9407741.0514703896</v>
      </c>
      <c r="H27" s="431">
        <v>4388652.8029008433</v>
      </c>
      <c r="I27" s="431">
        <v>2697247.3250588961</v>
      </c>
      <c r="J27" s="432">
        <v>1170145.0998396054</v>
      </c>
    </row>
    <row r="28" spans="2:11" x14ac:dyDescent="0.35">
      <c r="C28" s="433" t="s">
        <v>84</v>
      </c>
      <c r="D28" s="425"/>
      <c r="E28" s="434">
        <v>-3022139.9345053807</v>
      </c>
      <c r="F28" s="435">
        <v>2755722.006496571</v>
      </c>
      <c r="G28" s="435">
        <v>-3882656.8673171289</v>
      </c>
      <c r="H28" s="435">
        <v>1585274.8853254542</v>
      </c>
      <c r="I28" s="435">
        <v>-2924890.2368798591</v>
      </c>
      <c r="J28" s="436">
        <v>6803019.777557645</v>
      </c>
    </row>
    <row r="29" spans="2:11" ht="16" thickBot="1" x14ac:dyDescent="0.4">
      <c r="B29" s="408"/>
      <c r="C29" s="447" t="s">
        <v>85</v>
      </c>
      <c r="E29" s="189">
        <v>11658527.218280805</v>
      </c>
      <c r="F29" s="190">
        <v>13215267.966862561</v>
      </c>
      <c r="G29" s="448">
        <v>21244526.856899731</v>
      </c>
      <c r="H29" s="449">
        <v>17137610.765452176</v>
      </c>
      <c r="I29" s="449">
        <v>34405160.857908845</v>
      </c>
      <c r="J29" s="191">
        <v>10053081.006231248</v>
      </c>
    </row>
    <row r="30" spans="2:11" s="251" customFormat="1" ht="19" thickTop="1" thickBot="1" x14ac:dyDescent="0.4">
      <c r="B30" s="396"/>
      <c r="C30" s="411" t="s">
        <v>86</v>
      </c>
      <c r="D30" s="412"/>
      <c r="E30" s="413">
        <v>79417032.208870769</v>
      </c>
      <c r="F30" s="414">
        <v>33310337.725934073</v>
      </c>
      <c r="G30" s="415">
        <v>44284579.292009018</v>
      </c>
      <c r="H30" s="416">
        <v>51454467.77448678</v>
      </c>
      <c r="I30" s="416">
        <v>55008248.638751566</v>
      </c>
      <c r="J30" s="417">
        <v>62606637.482116088</v>
      </c>
    </row>
    <row r="31" spans="2:11" x14ac:dyDescent="0.35">
      <c r="C31" s="451" t="s">
        <v>95</v>
      </c>
      <c r="E31" s="452">
        <v>17364790.874130048</v>
      </c>
      <c r="F31" s="453">
        <v>15168069.685595579</v>
      </c>
      <c r="G31" s="454">
        <v>13083153.673475219</v>
      </c>
      <c r="H31" s="455">
        <v>17766128.682878386</v>
      </c>
      <c r="I31" s="455">
        <v>16773123.324396782</v>
      </c>
      <c r="J31" s="456">
        <v>13685975.844295716</v>
      </c>
    </row>
    <row r="32" spans="2:11" ht="16" thickBot="1" x14ac:dyDescent="0.4">
      <c r="B32" s="408"/>
      <c r="C32" s="447" t="s">
        <v>96</v>
      </c>
      <c r="E32" s="189">
        <v>3446065.1457932293</v>
      </c>
      <c r="F32" s="189">
        <v>-37205863.176177979</v>
      </c>
      <c r="G32" s="189">
        <v>-23514977.83197552</v>
      </c>
      <c r="H32" s="189">
        <v>-145998.04414853454</v>
      </c>
      <c r="I32" s="189">
        <v>1638291.7302958965</v>
      </c>
      <c r="J32" s="189">
        <v>-22883792.772675663</v>
      </c>
    </row>
    <row r="33" spans="2:10" s="251" customFormat="1" ht="19" thickTop="1" thickBot="1" x14ac:dyDescent="0.4">
      <c r="B33" s="396"/>
      <c r="C33" s="411" t="s">
        <v>89</v>
      </c>
      <c r="D33" s="412"/>
      <c r="E33" s="413">
        <v>65498306.48053395</v>
      </c>
      <c r="F33" s="414">
        <v>-19063595.135839485</v>
      </c>
      <c r="G33" s="415">
        <v>7686447.7865582779</v>
      </c>
      <c r="H33" s="416">
        <v>33542341.047459856</v>
      </c>
      <c r="I33" s="416">
        <v>39873417.044650681</v>
      </c>
      <c r="J33" s="417">
        <v>26036868.865144707</v>
      </c>
    </row>
    <row r="34" spans="2:10" ht="16" thickBot="1" x14ac:dyDescent="0.4">
      <c r="B34" s="408"/>
      <c r="C34" s="457" t="s">
        <v>90</v>
      </c>
      <c r="E34" s="180">
        <v>15571171.302086847</v>
      </c>
      <c r="F34" s="181">
        <v>12540648.53748861</v>
      </c>
      <c r="G34" s="458">
        <v>11621002.898900449</v>
      </c>
      <c r="H34" s="459">
        <v>13546793.925437646</v>
      </c>
      <c r="I34" s="459">
        <v>15013069.705093835</v>
      </c>
      <c r="J34" s="182">
        <v>14783598.73836449</v>
      </c>
    </row>
    <row r="35" spans="2:10" s="251" customFormat="1" ht="19" thickTop="1" thickBot="1" x14ac:dyDescent="0.4">
      <c r="B35" s="396"/>
      <c r="C35" s="411" t="s">
        <v>91</v>
      </c>
      <c r="D35" s="412"/>
      <c r="E35" s="413">
        <v>49927135.178447105</v>
      </c>
      <c r="F35" s="414">
        <v>-31604243.673328094</v>
      </c>
      <c r="G35" s="415">
        <v>-3934555.1123421714</v>
      </c>
      <c r="H35" s="416">
        <v>19995547.122022212</v>
      </c>
      <c r="I35" s="416">
        <v>24860347.339556847</v>
      </c>
      <c r="J35" s="417">
        <v>11253270.126780218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58AA-A4DD-441A-B6EF-BA3AA3E8A7C7}">
  <sheetPr codeName="Hoja6"/>
  <dimension ref="C1:M46"/>
  <sheetViews>
    <sheetView zoomScale="55" zoomScaleNormal="55" workbookViewId="0">
      <selection activeCell="C7" sqref="C7"/>
    </sheetView>
  </sheetViews>
  <sheetFormatPr baseColWidth="10" defaultColWidth="18.90625" defaultRowHeight="15.5" x14ac:dyDescent="0.35"/>
  <cols>
    <col min="1" max="1" width="3.26953125" style="155" customWidth="1"/>
    <col min="2" max="2" width="3.08984375" style="155" customWidth="1"/>
    <col min="3" max="3" width="71.453125" style="155" customWidth="1"/>
    <col min="4" max="5" width="15.08984375" style="155" customWidth="1"/>
    <col min="6" max="6" width="16.7265625" style="155" bestFit="1" customWidth="1"/>
    <col min="7" max="8" width="15.08984375" style="155" customWidth="1"/>
    <col min="9" max="9" width="18.1796875" style="155" bestFit="1" customWidth="1"/>
    <col min="10" max="11" width="15.08984375" style="155" customWidth="1"/>
    <col min="12" max="12" width="18.1796875" style="155" bestFit="1" customWidth="1"/>
    <col min="13" max="14" width="15.08984375" style="155" customWidth="1"/>
    <col min="15" max="16384" width="18.90625" style="155"/>
  </cols>
  <sheetData>
    <row r="1" spans="3:13" ht="20.25" customHeight="1" thickBot="1" x14ac:dyDescent="0.4"/>
    <row r="2" spans="3:13" ht="20.25" customHeight="1" thickBot="1" x14ac:dyDescent="0.45">
      <c r="C2" s="247" t="s">
        <v>134</v>
      </c>
      <c r="D2" s="248" t="s">
        <v>5</v>
      </c>
      <c r="E2" s="248" t="s">
        <v>5</v>
      </c>
      <c r="F2" s="249" t="s">
        <v>8</v>
      </c>
      <c r="G2" s="249" t="s">
        <v>9</v>
      </c>
      <c r="H2" s="248" t="s">
        <v>5</v>
      </c>
      <c r="I2" s="249" t="s">
        <v>8</v>
      </c>
      <c r="J2" s="249" t="s">
        <v>9</v>
      </c>
      <c r="K2" s="248" t="s">
        <v>5</v>
      </c>
      <c r="L2" s="249" t="s">
        <v>8</v>
      </c>
      <c r="M2" s="249" t="s">
        <v>9</v>
      </c>
    </row>
    <row r="3" spans="3:13" ht="20.25" customHeight="1" thickBot="1" x14ac:dyDescent="0.45">
      <c r="C3" s="158"/>
      <c r="D3" s="250">
        <v>2018</v>
      </c>
      <c r="E3" s="510">
        <v>2019</v>
      </c>
      <c r="F3" s="511">
        <v>2017</v>
      </c>
      <c r="G3" s="512">
        <v>2018</v>
      </c>
      <c r="H3" s="510">
        <v>20201</v>
      </c>
      <c r="I3" s="511" t="e">
        <v>#REF!</v>
      </c>
      <c r="J3" s="512" t="e">
        <v>#REF!</v>
      </c>
      <c r="K3" s="510">
        <v>2021</v>
      </c>
      <c r="L3" s="511" t="e">
        <v>#REF!</v>
      </c>
      <c r="M3" s="512" t="e">
        <v>#REF!</v>
      </c>
    </row>
    <row r="4" spans="3:13" ht="20.25" customHeight="1" thickBot="1" x14ac:dyDescent="0.4">
      <c r="C4" s="251"/>
      <c r="D4" s="252"/>
      <c r="E4" s="252"/>
      <c r="F4" s="252"/>
      <c r="G4" s="252"/>
      <c r="H4" s="252"/>
      <c r="I4" s="252"/>
      <c r="J4" s="252"/>
      <c r="K4" s="252"/>
      <c r="L4" s="252"/>
      <c r="M4" s="252"/>
    </row>
    <row r="5" spans="3:13" x14ac:dyDescent="0.35">
      <c r="C5" s="163" t="s">
        <v>13</v>
      </c>
      <c r="D5" s="253">
        <v>1.0928732482602537</v>
      </c>
      <c r="E5" s="254">
        <v>1.0923604460134921</v>
      </c>
      <c r="F5" s="255">
        <v>-65116538.376963019</v>
      </c>
      <c r="G5" s="256">
        <v>-7.4328116717673351E-2</v>
      </c>
      <c r="H5" s="254">
        <v>1.0767014214486845</v>
      </c>
      <c r="I5" s="255">
        <v>-132813366.25656331</v>
      </c>
      <c r="J5" s="256">
        <v>-0.16377459558798685</v>
      </c>
      <c r="K5" s="254">
        <v>1.1037029386577255</v>
      </c>
      <c r="L5" s="255">
        <v>-108102273.62627566</v>
      </c>
      <c r="M5" s="256">
        <v>-0.15941024245258284</v>
      </c>
    </row>
    <row r="6" spans="3:13" x14ac:dyDescent="0.35">
      <c r="C6" s="167" t="s">
        <v>14</v>
      </c>
      <c r="D6" s="257">
        <v>-0.10154164385571816</v>
      </c>
      <c r="E6" s="258">
        <v>-9.8224334999475665E-2</v>
      </c>
      <c r="F6" s="259">
        <v>8477493.1983064115</v>
      </c>
      <c r="G6" s="260">
        <v>-0.10414894600181579</v>
      </c>
      <c r="H6" s="258">
        <v>-0.10454904724646165</v>
      </c>
      <c r="I6" s="259">
        <v>7072165.9118186235</v>
      </c>
      <c r="J6" s="260">
        <v>-9.6984886259346495E-2</v>
      </c>
      <c r="K6" s="258">
        <v>-0.11501591944557663</v>
      </c>
      <c r="L6" s="259">
        <v>6445112.1873421371</v>
      </c>
      <c r="M6" s="260">
        <v>-9.7878449804356824E-2</v>
      </c>
    </row>
    <row r="7" spans="3:13" ht="16" thickBot="1" x14ac:dyDescent="0.4">
      <c r="C7" s="167" t="s">
        <v>42</v>
      </c>
      <c r="D7" s="257">
        <v>8.6683955954645255E-3</v>
      </c>
      <c r="E7" s="258">
        <v>5.8638889859834314E-3</v>
      </c>
      <c r="F7" s="259">
        <v>-2595492.4966242723</v>
      </c>
      <c r="G7" s="260">
        <v>-0.37351897918987037</v>
      </c>
      <c r="H7" s="258">
        <v>2.784762579777721E-2</v>
      </c>
      <c r="I7" s="259">
        <v>13186005.03443631</v>
      </c>
      <c r="J7" s="260">
        <v>3.0289926180857072</v>
      </c>
      <c r="K7" s="258">
        <v>1.1312980787851179E-2</v>
      </c>
      <c r="L7" s="259">
        <v>-11696381.353111077</v>
      </c>
      <c r="M7" s="260">
        <v>-0.66686822677813562</v>
      </c>
    </row>
    <row r="8" spans="3:13" ht="16" thickBot="1" x14ac:dyDescent="0.4">
      <c r="C8" s="261" t="s">
        <v>15</v>
      </c>
      <c r="D8" s="262">
        <v>1</v>
      </c>
      <c r="E8" s="263">
        <v>1</v>
      </c>
      <c r="F8" s="264">
        <v>-59234537.675280809</v>
      </c>
      <c r="G8" s="265">
        <v>-7.3893565445477927E-2</v>
      </c>
      <c r="H8" s="263">
        <v>1</v>
      </c>
      <c r="I8" s="264">
        <v>-112555195.31030846</v>
      </c>
      <c r="J8" s="265">
        <v>-0.15161293787253075</v>
      </c>
      <c r="K8" s="263">
        <v>1</v>
      </c>
      <c r="L8" s="264">
        <v>-113353542.79204458</v>
      </c>
      <c r="M8" s="265">
        <v>-0.17997483280491397</v>
      </c>
    </row>
    <row r="9" spans="3:13" ht="16" thickBot="1" x14ac:dyDescent="0.4">
      <c r="C9" s="179" t="s">
        <v>16</v>
      </c>
      <c r="D9" s="266">
        <v>0.59126049068466713</v>
      </c>
      <c r="E9" s="267">
        <v>0.57997972665944275</v>
      </c>
      <c r="F9" s="268">
        <v>-43397713.629783809</v>
      </c>
      <c r="G9" s="269">
        <v>-9.1562914767895506E-2</v>
      </c>
      <c r="H9" s="267">
        <v>0.57360056754419675</v>
      </c>
      <c r="I9" s="268">
        <v>-69297516.977620065</v>
      </c>
      <c r="J9" s="269">
        <v>-0.16094429173174091</v>
      </c>
      <c r="K9" s="267">
        <v>0.57040366353195904</v>
      </c>
      <c r="L9" s="268">
        <v>-66670782.027632058</v>
      </c>
      <c r="M9" s="269">
        <v>-0.18454515908329563</v>
      </c>
    </row>
    <row r="10" spans="3:13" ht="16.5" thickTop="1" thickBot="1" x14ac:dyDescent="0.4">
      <c r="C10" s="270" t="s">
        <v>17</v>
      </c>
      <c r="D10" s="271">
        <v>0.40873950931533287</v>
      </c>
      <c r="E10" s="272">
        <v>0.42002027334055714</v>
      </c>
      <c r="F10" s="273">
        <v>-15836824.04549706</v>
      </c>
      <c r="G10" s="274">
        <v>-4.8334039360145242E-2</v>
      </c>
      <c r="H10" s="272">
        <v>0.42639943245580325</v>
      </c>
      <c r="I10" s="273">
        <v>-43257678.332688332</v>
      </c>
      <c r="J10" s="274">
        <v>-0.13872785492740539</v>
      </c>
      <c r="K10" s="272">
        <v>0.42959633646804091</v>
      </c>
      <c r="L10" s="273">
        <v>-46682760.764412552</v>
      </c>
      <c r="M10" s="274">
        <v>-0.17382674360122219</v>
      </c>
    </row>
    <row r="11" spans="3:13" ht="16" thickBot="1" x14ac:dyDescent="0.4">
      <c r="C11" s="167" t="s">
        <v>18</v>
      </c>
      <c r="D11" s="257">
        <v>0.30356034224888678</v>
      </c>
      <c r="E11" s="258">
        <v>0.30542766262364984</v>
      </c>
      <c r="F11" s="259">
        <v>-16594985.592382491</v>
      </c>
      <c r="G11" s="260">
        <v>-6.8196716503909058E-2</v>
      </c>
      <c r="H11" s="258">
        <v>0.30727886050504266</v>
      </c>
      <c r="I11" s="259">
        <v>-33211530.321432114</v>
      </c>
      <c r="J11" s="260">
        <v>-0.14647086161617454</v>
      </c>
      <c r="K11" s="258">
        <v>0.2876934908863556</v>
      </c>
      <c r="L11" s="259">
        <v>-44946529.10747841</v>
      </c>
      <c r="M11" s="260">
        <v>-0.2322416759250181</v>
      </c>
    </row>
    <row r="12" spans="3:13" ht="16" thickBot="1" x14ac:dyDescent="0.4">
      <c r="C12" s="275" t="s">
        <v>19</v>
      </c>
      <c r="D12" s="262">
        <v>0.10517916706644619</v>
      </c>
      <c r="E12" s="263">
        <v>0.11459261071690725</v>
      </c>
      <c r="F12" s="264">
        <v>758161.54688537121</v>
      </c>
      <c r="G12" s="265">
        <v>8.9921521272897514E-3</v>
      </c>
      <c r="H12" s="263">
        <v>0.1191205719507606</v>
      </c>
      <c r="I12" s="264">
        <v>-10046148.011256173</v>
      </c>
      <c r="J12" s="265">
        <v>-0.11809015045558313</v>
      </c>
      <c r="K12" s="263">
        <v>0.14190284558168528</v>
      </c>
      <c r="L12" s="264">
        <v>-1736231.6569341719</v>
      </c>
      <c r="M12" s="265">
        <v>-2.3141823717234535E-2</v>
      </c>
    </row>
    <row r="13" spans="3:13" ht="16" thickBot="1" x14ac:dyDescent="0.4">
      <c r="C13" s="179" t="s">
        <v>20</v>
      </c>
      <c r="D13" s="266">
        <v>3.808887521799742E-2</v>
      </c>
      <c r="E13" s="267">
        <v>3.9221923171030092E-2</v>
      </c>
      <c r="F13" s="268">
        <v>-1415018.9269411899</v>
      </c>
      <c r="G13" s="269">
        <v>-4.6344235255056036E-2</v>
      </c>
      <c r="H13" s="267">
        <v>4.0805843740854227E-2</v>
      </c>
      <c r="I13" s="268">
        <v>-3417030.5846243016</v>
      </c>
      <c r="J13" s="269">
        <v>-0.11735205492151578</v>
      </c>
      <c r="K13" s="267">
        <v>3.5634475512825003E-2</v>
      </c>
      <c r="L13" s="268">
        <v>-7296376.7191617638</v>
      </c>
      <c r="M13" s="269">
        <v>-0.28389749943933373</v>
      </c>
    </row>
    <row r="14" spans="3:13" ht="16.5" thickTop="1" thickBot="1" x14ac:dyDescent="0.4">
      <c r="C14" s="270" t="s">
        <v>21</v>
      </c>
      <c r="D14" s="271">
        <v>6.7090291848448766E-2</v>
      </c>
      <c r="E14" s="272">
        <v>7.5370687545877155E-2</v>
      </c>
      <c r="F14" s="273">
        <v>2173180.4738265574</v>
      </c>
      <c r="G14" s="274">
        <v>4.0408035050888393E-2</v>
      </c>
      <c r="H14" s="272">
        <v>7.8314728209906412E-2</v>
      </c>
      <c r="I14" s="273">
        <v>-6629117.4266318455</v>
      </c>
      <c r="J14" s="274">
        <v>-0.11847424574876213</v>
      </c>
      <c r="K14" s="272">
        <v>0.10626837006886028</v>
      </c>
      <c r="L14" s="273">
        <v>5560145.0622275695</v>
      </c>
      <c r="M14" s="274">
        <v>0.1127247699781114</v>
      </c>
    </row>
    <row r="15" spans="3:13" x14ac:dyDescent="0.35">
      <c r="C15" s="167" t="s">
        <v>22</v>
      </c>
      <c r="D15" s="257">
        <v>2.4301420581213561E-2</v>
      </c>
      <c r="E15" s="258">
        <v>2.3390541438009015E-2</v>
      </c>
      <c r="F15" s="259">
        <v>-2115706.5724690929</v>
      </c>
      <c r="G15" s="260">
        <v>-0.10860639356201081</v>
      </c>
      <c r="H15" s="258">
        <v>2.4082800928829348E-2</v>
      </c>
      <c r="I15" s="259">
        <v>-2196721.1885344684</v>
      </c>
      <c r="J15" s="260">
        <v>-0.12650432731713052</v>
      </c>
      <c r="K15" s="258">
        <v>2.5331560339278761E-2</v>
      </c>
      <c r="L15" s="259">
        <v>-2084916.0121203605</v>
      </c>
      <c r="M15" s="260">
        <v>-0.13745427436296062</v>
      </c>
    </row>
    <row r="16" spans="3:13" x14ac:dyDescent="0.35">
      <c r="C16" s="167" t="s">
        <v>23</v>
      </c>
      <c r="D16" s="257">
        <v>-1.0695277710363979E-2</v>
      </c>
      <c r="E16" s="258">
        <v>-1.0247824111293649E-2</v>
      </c>
      <c r="F16" s="259">
        <v>965712.74272150081</v>
      </c>
      <c r="G16" s="260">
        <v>-0.11263867038670444</v>
      </c>
      <c r="H16" s="258">
        <v>-2.4853285976043954E-3</v>
      </c>
      <c r="I16" s="259">
        <v>6042498.1283337083</v>
      </c>
      <c r="J16" s="260">
        <v>-0.79424699287927136</v>
      </c>
      <c r="K16" s="258">
        <v>8.7112780004266501E-4</v>
      </c>
      <c r="L16" s="259">
        <v>2015251.3958108129</v>
      </c>
      <c r="M16" s="260">
        <v>-1.2874254617948031</v>
      </c>
    </row>
    <row r="17" spans="3:13" x14ac:dyDescent="0.35">
      <c r="C17" s="167" t="s">
        <v>24</v>
      </c>
      <c r="D17" s="257">
        <v>6.1561341227332504E-3</v>
      </c>
      <c r="E17" s="258">
        <v>2.0972421266035159E-4</v>
      </c>
      <c r="F17" s="259">
        <v>-4779182.2377995364</v>
      </c>
      <c r="G17" s="260">
        <v>-0.96844985197619471</v>
      </c>
      <c r="H17" s="258">
        <v>-6.5408274120130633E-3</v>
      </c>
      <c r="I17" s="259">
        <v>-4275305.2486789254</v>
      </c>
      <c r="J17" s="260">
        <v>-27.459288041040047</v>
      </c>
      <c r="K17" s="258">
        <v>-9.5731842641244725E-3</v>
      </c>
      <c r="L17" s="259">
        <v>-824714.86034721509</v>
      </c>
      <c r="M17" s="260">
        <v>0.20019250352945395</v>
      </c>
    </row>
    <row r="18" spans="3:13" x14ac:dyDescent="0.35">
      <c r="C18" s="167" t="s">
        <v>25</v>
      </c>
      <c r="D18" s="257">
        <v>-3.8096635643776705E-4</v>
      </c>
      <c r="E18" s="258">
        <v>8.1792442937537132E-5</v>
      </c>
      <c r="F18" s="259">
        <v>366111.63182715629</v>
      </c>
      <c r="G18" s="260">
        <v>-1.1988325384180234</v>
      </c>
      <c r="H18" s="258">
        <v>-6.8023012350988123E-4</v>
      </c>
      <c r="I18" s="259">
        <v>-489150.81136119674</v>
      </c>
      <c r="J18" s="260">
        <v>-8.0556449389324332</v>
      </c>
      <c r="K18" s="258">
        <v>-1.4846673515194323E-3</v>
      </c>
      <c r="L18" s="259">
        <v>-338366.36765053455</v>
      </c>
      <c r="M18" s="260">
        <v>0.78978341458458334</v>
      </c>
    </row>
    <row r="19" spans="3:13" x14ac:dyDescent="0.35">
      <c r="C19" s="167" t="s">
        <v>26</v>
      </c>
      <c r="D19" s="257">
        <v>-3.9013776872238E-4</v>
      </c>
      <c r="E19" s="258">
        <v>-3.4884127372505148E-4</v>
      </c>
      <c r="F19" s="259">
        <v>53767.535452200624</v>
      </c>
      <c r="G19" s="260">
        <v>-0.17192290996861609</v>
      </c>
      <c r="H19" s="258">
        <v>-8.8662189756995267E-3</v>
      </c>
      <c r="I19" s="259">
        <v>-5325235.8091226378</v>
      </c>
      <c r="J19" s="260">
        <v>20.562773775735018</v>
      </c>
      <c r="K19" s="258">
        <v>-1.3908535884379148E-2</v>
      </c>
      <c r="L19" s="259">
        <v>-1599220.4686484337</v>
      </c>
      <c r="M19" s="260">
        <v>0.2863825600615742</v>
      </c>
    </row>
    <row r="20" spans="3:13" ht="16" thickBot="1" x14ac:dyDescent="0.4">
      <c r="C20" s="188" t="s">
        <v>27</v>
      </c>
      <c r="D20" s="276">
        <v>5.7709348067795088E-4</v>
      </c>
      <c r="E20" s="277">
        <v>6.7601104547520001E-4</v>
      </c>
      <c r="F20" s="278">
        <v>39251.066756183282</v>
      </c>
      <c r="G20" s="279">
        <v>8.4847082848760344E-2</v>
      </c>
      <c r="H20" s="277">
        <v>2.4475011663457973E-3</v>
      </c>
      <c r="I20" s="278">
        <v>1039649.0070039667</v>
      </c>
      <c r="J20" s="279">
        <v>2.0715893445351119</v>
      </c>
      <c r="K20" s="277">
        <v>1.1890248963038237E-2</v>
      </c>
      <c r="L20" s="278">
        <v>4599523.6772963591</v>
      </c>
      <c r="M20" s="279">
        <v>2.9837788549307072</v>
      </c>
    </row>
    <row r="21" spans="3:13" ht="16.5" thickTop="1" thickBot="1" x14ac:dyDescent="0.4">
      <c r="C21" s="270" t="s">
        <v>28</v>
      </c>
      <c r="D21" s="271">
        <v>3.8055717035122283E-2</v>
      </c>
      <c r="E21" s="272">
        <v>4.2351008423922538E-2</v>
      </c>
      <c r="F21" s="273">
        <v>934547.78525315598</v>
      </c>
      <c r="G21" s="274">
        <v>3.0634671134147563E-2</v>
      </c>
      <c r="H21" s="272">
        <v>3.810682333859599E-2</v>
      </c>
      <c r="I21" s="273">
        <v>-7439940.9719224684</v>
      </c>
      <c r="J21" s="274">
        <v>-0.23663362214108996</v>
      </c>
      <c r="K21" s="272">
        <v>6.873179899263937E-2</v>
      </c>
      <c r="L21" s="273">
        <v>11497534.450808924</v>
      </c>
      <c r="M21" s="274">
        <v>0.47904758315219725</v>
      </c>
    </row>
    <row r="22" spans="3:13" ht="16" thickBot="1" x14ac:dyDescent="0.4">
      <c r="C22" s="179" t="s">
        <v>29</v>
      </c>
      <c r="D22" s="266">
        <v>1.4363137130956482E-2</v>
      </c>
      <c r="E22" s="267">
        <v>1.7116292075920164E-2</v>
      </c>
      <c r="F22" s="268">
        <v>1193107.5898851082</v>
      </c>
      <c r="G22" s="269">
        <v>0.10362437416683259</v>
      </c>
      <c r="H22" s="267">
        <v>2.0714168629379439E-2</v>
      </c>
      <c r="I22" s="268">
        <v>339522.86905768141</v>
      </c>
      <c r="J22" s="269">
        <v>2.6719606673191156E-2</v>
      </c>
      <c r="K22" s="267">
        <v>2.9306657272994974E-2</v>
      </c>
      <c r="L22" s="268">
        <v>2089793.3993385267</v>
      </c>
      <c r="M22" s="269">
        <v>0.16018156268802905</v>
      </c>
    </row>
    <row r="23" spans="3:13" ht="16.5" thickTop="1" thickBot="1" x14ac:dyDescent="0.4">
      <c r="C23" s="270" t="s">
        <v>30</v>
      </c>
      <c r="D23" s="271">
        <v>2.3692579904165793E-2</v>
      </c>
      <c r="E23" s="272">
        <v>2.5234716348002378E-2</v>
      </c>
      <c r="F23" s="273">
        <v>-258559.80463194475</v>
      </c>
      <c r="G23" s="274">
        <v>-1.3613828524680455E-2</v>
      </c>
      <c r="H23" s="272">
        <v>1.7392654709216554E-2</v>
      </c>
      <c r="I23" s="273">
        <v>-7779463.8409801517</v>
      </c>
      <c r="J23" s="274">
        <v>-0.41526177556904409</v>
      </c>
      <c r="K23" s="272">
        <v>3.9425141719644383E-2</v>
      </c>
      <c r="L23" s="273">
        <v>9407741.0514703896</v>
      </c>
      <c r="M23" s="274">
        <v>0.85880815613556349</v>
      </c>
    </row>
    <row r="24" spans="3:13" ht="5.25" customHeight="1" x14ac:dyDescent="0.35"/>
    <row r="25" spans="3:13" ht="16" thickBot="1" x14ac:dyDescent="0.4">
      <c r="E25" s="248" t="s">
        <v>5</v>
      </c>
      <c r="F25" s="249" t="s">
        <v>6</v>
      </c>
      <c r="G25" s="249" t="s">
        <v>7</v>
      </c>
      <c r="H25" s="248" t="s">
        <v>5</v>
      </c>
      <c r="I25" s="249" t="s">
        <v>6</v>
      </c>
      <c r="J25" s="249" t="s">
        <v>7</v>
      </c>
      <c r="K25" s="248" t="s">
        <v>5</v>
      </c>
      <c r="L25" s="249" t="s">
        <v>6</v>
      </c>
      <c r="M25" s="249" t="s">
        <v>7</v>
      </c>
    </row>
    <row r="26" spans="3:13" ht="16" thickBot="1" x14ac:dyDescent="0.4">
      <c r="E26" s="510">
        <v>2022</v>
      </c>
      <c r="F26" s="511" t="e">
        <v>#REF!</v>
      </c>
      <c r="G26" s="512" t="e">
        <v>#REF!</v>
      </c>
      <c r="H26" s="510">
        <v>2023</v>
      </c>
      <c r="I26" s="511"/>
      <c r="J26" s="511"/>
      <c r="K26" s="510">
        <v>2024</v>
      </c>
      <c r="L26" s="511"/>
      <c r="M26" s="512"/>
    </row>
    <row r="27" spans="3:13" ht="5.25" customHeight="1" thickBot="1" x14ac:dyDescent="0.4">
      <c r="E27" s="252"/>
      <c r="F27" s="252"/>
      <c r="G27" s="252"/>
      <c r="H27" s="280"/>
      <c r="I27" s="280"/>
      <c r="J27" s="280"/>
      <c r="K27" s="280"/>
      <c r="L27" s="280"/>
      <c r="M27" s="280"/>
    </row>
    <row r="28" spans="3:13" x14ac:dyDescent="0.35">
      <c r="C28" s="281" t="s">
        <v>13</v>
      </c>
      <c r="E28" s="254">
        <v>1.0971094514845015</v>
      </c>
      <c r="F28" s="255">
        <v>82395711.867490292</v>
      </c>
      <c r="G28" s="256">
        <v>0.14454461292003379</v>
      </c>
      <c r="H28" s="254">
        <v>1.0693171840124402</v>
      </c>
      <c r="I28" s="255">
        <v>-10880649.119922757</v>
      </c>
      <c r="J28" s="282">
        <v>-1.6677055727281904E-2</v>
      </c>
      <c r="K28" s="254">
        <v>0.99696993513453847</v>
      </c>
      <c r="L28" s="255">
        <v>-91175425.795797467</v>
      </c>
      <c r="M28" s="256">
        <v>-0.14211705586356993</v>
      </c>
    </row>
    <row r="29" spans="3:13" x14ac:dyDescent="0.35">
      <c r="C29" s="283" t="s">
        <v>14</v>
      </c>
      <c r="E29" s="258">
        <v>-0.11031168340645491</v>
      </c>
      <c r="F29" s="259">
        <v>-6197463.8890689313</v>
      </c>
      <c r="G29" s="260">
        <v>0.10432912102703501</v>
      </c>
      <c r="H29" s="258">
        <v>-0.10713112721276753</v>
      </c>
      <c r="I29" s="259">
        <v>1325675.6267415285</v>
      </c>
      <c r="J29" s="284">
        <v>-2.0208323731608E-2</v>
      </c>
      <c r="K29" s="258">
        <v>0</v>
      </c>
      <c r="L29" s="259">
        <v>64274798.927613944</v>
      </c>
      <c r="M29" s="260">
        <v>-1</v>
      </c>
    </row>
    <row r="30" spans="3:13" ht="16" thickBot="1" x14ac:dyDescent="0.4">
      <c r="C30" s="283" t="s">
        <v>42</v>
      </c>
      <c r="E30" s="258">
        <v>1.320223192195334E-2</v>
      </c>
      <c r="F30" s="259">
        <v>2008254.0454460969</v>
      </c>
      <c r="G30" s="260">
        <v>0.34370915490224535</v>
      </c>
      <c r="H30" s="258">
        <v>3.7813943200327098E-2</v>
      </c>
      <c r="I30" s="259">
        <v>14835855.422617003</v>
      </c>
      <c r="J30" s="284">
        <v>1.8896430122331622</v>
      </c>
      <c r="K30" s="258">
        <v>3.0300648654614411E-3</v>
      </c>
      <c r="L30" s="259">
        <v>-21014253.261799678</v>
      </c>
      <c r="M30" s="260">
        <v>-0.92626860074463413</v>
      </c>
    </row>
    <row r="31" spans="3:13" ht="16" thickBot="1" x14ac:dyDescent="0.4">
      <c r="C31" s="285" t="s">
        <v>15</v>
      </c>
      <c r="E31" s="263">
        <v>1</v>
      </c>
      <c r="F31" s="264">
        <v>78206502.023867548</v>
      </c>
      <c r="G31" s="265">
        <v>0.15142317933312929</v>
      </c>
      <c r="H31" s="263">
        <v>1</v>
      </c>
      <c r="I31" s="264">
        <v>5280881.92943573</v>
      </c>
      <c r="J31" s="286">
        <v>8.8801640455222226E-3</v>
      </c>
      <c r="K31" s="263">
        <v>1</v>
      </c>
      <c r="L31" s="264">
        <v>-47914880.129983187</v>
      </c>
      <c r="M31" s="265">
        <v>-7.9862951020207781E-2</v>
      </c>
    </row>
    <row r="32" spans="3:13" ht="16" thickBot="1" x14ac:dyDescent="0.4">
      <c r="C32" s="287" t="s">
        <v>16</v>
      </c>
      <c r="E32" s="267">
        <v>0.55940219818646519</v>
      </c>
      <c r="F32" s="268">
        <v>38066891.675037324</v>
      </c>
      <c r="G32" s="269">
        <v>0.12921549902652824</v>
      </c>
      <c r="H32" s="267">
        <v>0.53959745114204827</v>
      </c>
      <c r="I32" s="268">
        <v>-8927994.4731667638</v>
      </c>
      <c r="J32" s="288">
        <v>-2.6837637049694857E-2</v>
      </c>
      <c r="K32" s="289">
        <v>0.54038553617822749</v>
      </c>
      <c r="L32" s="268">
        <v>-25419685.691433907</v>
      </c>
      <c r="M32" s="269">
        <v>-7.851908581476566E-2</v>
      </c>
    </row>
    <row r="33" spans="3:13" ht="16.5" thickTop="1" thickBot="1" x14ac:dyDescent="0.4">
      <c r="C33" s="46" t="s">
        <v>17</v>
      </c>
      <c r="E33" s="272">
        <v>0.44059780181353458</v>
      </c>
      <c r="F33" s="273">
        <v>40139610.348830134</v>
      </c>
      <c r="G33" s="274">
        <v>0.18090979532612667</v>
      </c>
      <c r="H33" s="272">
        <v>0.46040254885795168</v>
      </c>
      <c r="I33" s="273">
        <v>14208876.402602613</v>
      </c>
      <c r="J33" s="290">
        <v>5.4229043147528203E-2</v>
      </c>
      <c r="K33" s="272">
        <v>0.4596144638217724</v>
      </c>
      <c r="L33" s="273">
        <v>-22495194.43854934</v>
      </c>
      <c r="M33" s="274">
        <v>-8.1437977573240353E-2</v>
      </c>
    </row>
    <row r="34" spans="3:13" ht="16" thickBot="1" x14ac:dyDescent="0.4">
      <c r="C34" s="283" t="s">
        <v>18</v>
      </c>
      <c r="E34" s="258">
        <v>0.29201931552824339</v>
      </c>
      <c r="F34" s="259">
        <v>25071995.628509879</v>
      </c>
      <c r="G34" s="260">
        <v>0.16873623965665108</v>
      </c>
      <c r="H34" s="258">
        <v>0.31061357588594485</v>
      </c>
      <c r="I34" s="259">
        <v>12698002.758426696</v>
      </c>
      <c r="J34" s="284">
        <v>7.3120368177391218E-2</v>
      </c>
      <c r="K34" s="258">
        <v>0.31215074962890621</v>
      </c>
      <c r="L34" s="259">
        <v>-14034417.140151232</v>
      </c>
      <c r="M34" s="260">
        <v>-7.53093493059767E-2</v>
      </c>
    </row>
    <row r="35" spans="3:13" ht="16" thickBot="1" x14ac:dyDescent="0.4">
      <c r="C35" s="291" t="s">
        <v>19</v>
      </c>
      <c r="E35" s="263">
        <v>0.14857848628529127</v>
      </c>
      <c r="F35" s="264">
        <v>15067614.720320284</v>
      </c>
      <c r="G35" s="265">
        <v>0.20559043307299152</v>
      </c>
      <c r="H35" s="263">
        <v>0.1497889729720068</v>
      </c>
      <c r="I35" s="264">
        <v>1510873.6441758871</v>
      </c>
      <c r="J35" s="286">
        <v>1.7099631329120468E-2</v>
      </c>
      <c r="K35" s="263">
        <v>0.14746371419286619</v>
      </c>
      <c r="L35" s="292">
        <v>-8460777.2983980924</v>
      </c>
      <c r="M35" s="265">
        <v>-9.414675782321362E-2</v>
      </c>
    </row>
    <row r="36" spans="3:13" ht="16" thickBot="1" x14ac:dyDescent="0.4">
      <c r="C36" s="287" t="s">
        <v>20</v>
      </c>
      <c r="E36" s="267">
        <v>3.0523331564368372E-2</v>
      </c>
      <c r="F36" s="268">
        <v>-252662.35226096585</v>
      </c>
      <c r="G36" s="269">
        <v>-1.372839173582472E-2</v>
      </c>
      <c r="H36" s="267">
        <v>3.1561890462561415E-2</v>
      </c>
      <c r="I36" s="268">
        <v>784287.86040744558</v>
      </c>
      <c r="J36" s="288">
        <v>4.3207395637864916E-2</v>
      </c>
      <c r="K36" s="293">
        <v>3.4418214725468653E-2</v>
      </c>
      <c r="L36" s="278">
        <v>64546.545857205987</v>
      </c>
      <c r="M36" s="279">
        <v>3.4086699024493874E-3</v>
      </c>
    </row>
    <row r="37" spans="3:13" ht="16.5" thickTop="1" thickBot="1" x14ac:dyDescent="0.4">
      <c r="C37" s="46" t="s">
        <v>21</v>
      </c>
      <c r="E37" s="272">
        <v>0.11805515472092287</v>
      </c>
      <c r="F37" s="273">
        <v>15320277.072581246</v>
      </c>
      <c r="G37" s="274">
        <v>0.27913358883125816</v>
      </c>
      <c r="H37" s="272">
        <v>0.11822708250944539</v>
      </c>
      <c r="I37" s="273">
        <v>726585.78376844525</v>
      </c>
      <c r="J37" s="290">
        <v>1.0349430981799679E-2</v>
      </c>
      <c r="K37" s="272">
        <v>0.11304549946739753</v>
      </c>
      <c r="L37" s="273">
        <v>-8525323.8442552909</v>
      </c>
      <c r="M37" s="274">
        <v>-0.12019014533266774</v>
      </c>
    </row>
    <row r="38" spans="3:13" x14ac:dyDescent="0.35">
      <c r="C38" s="283" t="s">
        <v>22</v>
      </c>
      <c r="E38" s="258">
        <v>2.9874960142249437E-2</v>
      </c>
      <c r="F38" s="259">
        <v>4682975.0094031673</v>
      </c>
      <c r="G38" s="260">
        <v>0.35793931083278713</v>
      </c>
      <c r="H38" s="258">
        <v>2.7956891948352557E-2</v>
      </c>
      <c r="I38" s="259">
        <v>-993005.35848160461</v>
      </c>
      <c r="J38" s="284">
        <v>-5.589317606590264E-2</v>
      </c>
      <c r="K38" s="258">
        <v>2.4791237114838677E-2</v>
      </c>
      <c r="L38" s="259">
        <v>-3087147.4801010657</v>
      </c>
      <c r="M38" s="260">
        <v>-0.18405322732056464</v>
      </c>
    </row>
    <row r="39" spans="3:13" x14ac:dyDescent="0.35">
      <c r="C39" s="283" t="s">
        <v>23</v>
      </c>
      <c r="E39" s="258">
        <v>-6.0331605276857945E-3</v>
      </c>
      <c r="F39" s="259">
        <v>-4037734.5200034194</v>
      </c>
      <c r="G39" s="260">
        <v>-8.9743992510339936</v>
      </c>
      <c r="H39" s="258">
        <v>-3.0212948502255496E-3</v>
      </c>
      <c r="I39" s="259">
        <v>1775149.9895248204</v>
      </c>
      <c r="J39" s="284">
        <v>-0.49477153307328853</v>
      </c>
      <c r="K39" s="258">
        <v>-1.845017421758162E-3</v>
      </c>
      <c r="L39" s="259">
        <v>794127.67263804772</v>
      </c>
      <c r="M39" s="260">
        <v>-0.43809890463152795</v>
      </c>
    </row>
    <row r="40" spans="3:13" x14ac:dyDescent="0.35">
      <c r="C40" s="283" t="s">
        <v>24</v>
      </c>
      <c r="E40" s="258">
        <v>-7.1673902237693963E-3</v>
      </c>
      <c r="F40" s="259">
        <v>681999.38243763242</v>
      </c>
      <c r="G40" s="260">
        <v>-0.13793582038311392</v>
      </c>
      <c r="H40" s="258">
        <v>-9.192355213562927E-3</v>
      </c>
      <c r="I40" s="259">
        <v>-1252755.8457724433</v>
      </c>
      <c r="J40" s="284">
        <v>0.29391376027895455</v>
      </c>
      <c r="K40" s="258">
        <v>-3.1330179524096981E-2</v>
      </c>
      <c r="L40" s="259">
        <v>-11780711.555044346</v>
      </c>
      <c r="M40" s="260">
        <v>2.1360906167741587</v>
      </c>
    </row>
    <row r="41" spans="3:13" x14ac:dyDescent="0.35">
      <c r="C41" s="283" t="s">
        <v>25</v>
      </c>
      <c r="E41" s="258">
        <v>4.9202256579120647E-4</v>
      </c>
      <c r="F41" s="259">
        <v>1059393.1016941143</v>
      </c>
      <c r="G41" s="260">
        <v>-1.3815845929575825</v>
      </c>
      <c r="H41" s="258">
        <v>-4.1836750652966099E-4</v>
      </c>
      <c r="I41" s="259">
        <v>-543602.78054122359</v>
      </c>
      <c r="J41" s="284">
        <v>-1.857852277446304</v>
      </c>
      <c r="K41" s="258">
        <v>1.672221228179603E-4</v>
      </c>
      <c r="L41" s="259">
        <v>343320.15537594451</v>
      </c>
      <c r="M41" s="260">
        <v>-1.3677801650758592</v>
      </c>
    </row>
    <row r="42" spans="3:13" x14ac:dyDescent="0.35">
      <c r="C42" s="283" t="s">
        <v>26</v>
      </c>
      <c r="E42" s="258">
        <v>1.7573835607303226E-3</v>
      </c>
      <c r="F42" s="259">
        <v>8228516.8592848014</v>
      </c>
      <c r="G42" s="260">
        <v>-1.1454856344064577</v>
      </c>
      <c r="H42" s="258">
        <v>3.1223956762360552E-4</v>
      </c>
      <c r="I42" s="259">
        <v>-857753.55663592136</v>
      </c>
      <c r="J42" s="284">
        <v>-0.82074925858832137</v>
      </c>
      <c r="K42" s="258">
        <v>9.0913094105364426E-4</v>
      </c>
      <c r="L42" s="259">
        <v>314552.32068789785</v>
      </c>
      <c r="M42" s="260">
        <v>1.6791129247454153</v>
      </c>
    </row>
    <row r="43" spans="3:13" ht="16" thickBot="1" x14ac:dyDescent="0.4">
      <c r="C43" s="294" t="s">
        <v>27</v>
      </c>
      <c r="E43" s="277">
        <v>-1.7372095147525513E-3</v>
      </c>
      <c r="F43" s="278">
        <v>-7174122.0888562649</v>
      </c>
      <c r="G43" s="279">
        <v>-1.1682272010335628</v>
      </c>
      <c r="H43" s="277">
        <v>9.4398008816438874E-4</v>
      </c>
      <c r="I43" s="278">
        <v>1599442.7230416951</v>
      </c>
      <c r="J43" s="295">
        <v>-1.548214120470466</v>
      </c>
      <c r="K43" s="293">
        <v>2.8778927336970974E-3</v>
      </c>
      <c r="L43" s="278">
        <v>1022383.707800167</v>
      </c>
      <c r="M43" s="279">
        <v>1.8052029491572181</v>
      </c>
    </row>
    <row r="44" spans="3:13" ht="16.5" thickTop="1" thickBot="1" x14ac:dyDescent="0.4">
      <c r="C44" s="46" t="s">
        <v>28</v>
      </c>
      <c r="E44" s="272">
        <v>7.549184043898724E-2</v>
      </c>
      <c r="F44" s="273">
        <v>9395354.797734946</v>
      </c>
      <c r="G44" s="274">
        <v>0.26467015567680319</v>
      </c>
      <c r="H44" s="272">
        <v>7.8894392646562686E-2</v>
      </c>
      <c r="I44" s="273">
        <v>2440071.6718669683</v>
      </c>
      <c r="J44" s="290">
        <v>5.4352196643886859E-2</v>
      </c>
      <c r="K44" s="272">
        <v>5.9033311204272416E-2</v>
      </c>
      <c r="L44" s="273">
        <v>-14744504.062696509</v>
      </c>
      <c r="M44" s="274">
        <v>-0.31150066638644036</v>
      </c>
    </row>
    <row r="45" spans="3:13" ht="16" thickBot="1" x14ac:dyDescent="0.4">
      <c r="C45" s="287" t="s">
        <v>29</v>
      </c>
      <c r="E45" s="267">
        <v>3.3871662806512402E-2</v>
      </c>
      <c r="F45" s="268">
        <v>5006701.9948341046</v>
      </c>
      <c r="G45" s="269">
        <v>0.33077673494724608</v>
      </c>
      <c r="H45" s="267">
        <v>3.3144872456560157E-2</v>
      </c>
      <c r="I45" s="268">
        <v>-257175.6531919241</v>
      </c>
      <c r="J45" s="288">
        <v>-1.2767558762628238E-2</v>
      </c>
      <c r="K45" s="289">
        <v>7.1933383165525928E-3</v>
      </c>
      <c r="L45" s="268">
        <v>-15914649.162536118</v>
      </c>
      <c r="M45" s="269">
        <v>-0.80030524783039436</v>
      </c>
    </row>
    <row r="46" spans="3:13" ht="16.5" thickTop="1" thickBot="1" x14ac:dyDescent="0.4">
      <c r="C46" s="46" t="s">
        <v>30</v>
      </c>
      <c r="E46" s="272">
        <v>4.1620177632474824E-2</v>
      </c>
      <c r="F46" s="273">
        <v>4388652.8029008433</v>
      </c>
      <c r="G46" s="274">
        <v>0.21552986657028098</v>
      </c>
      <c r="H46" s="272">
        <v>4.5749520190002523E-2</v>
      </c>
      <c r="I46" s="273">
        <v>2697247.3250588961</v>
      </c>
      <c r="J46" s="290">
        <v>0.10897612792214192</v>
      </c>
      <c r="K46" s="272">
        <v>5.1839972887719819E-2</v>
      </c>
      <c r="L46" s="273">
        <v>1170145.0998396054</v>
      </c>
      <c r="M46" s="274">
        <v>4.2631255453530095E-2</v>
      </c>
    </row>
  </sheetData>
  <mergeCells count="6">
    <mergeCell ref="E3:G3"/>
    <mergeCell ref="H3:J3"/>
    <mergeCell ref="K3:M3"/>
    <mergeCell ref="E26:G26"/>
    <mergeCell ref="H26:J26"/>
    <mergeCell ref="K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4CBF-9EED-49BF-8831-E26CF5077942}">
  <sheetPr codeName="Hoja2"/>
  <dimension ref="B1:K66"/>
  <sheetViews>
    <sheetView topLeftCell="A36" zoomScale="55" zoomScaleNormal="55" workbookViewId="0">
      <selection activeCell="E4" sqref="E4:E66"/>
    </sheetView>
  </sheetViews>
  <sheetFormatPr baseColWidth="10" defaultColWidth="18.90625" defaultRowHeight="15.5" x14ac:dyDescent="0.35"/>
  <cols>
    <col min="1" max="1" width="3.08984375" style="155" customWidth="1"/>
    <col min="2" max="2" width="25.26953125" style="296" customWidth="1"/>
    <col min="3" max="3" width="61.453125" style="155" customWidth="1"/>
    <col min="4" max="11" width="16.36328125" style="155" customWidth="1"/>
    <col min="12" max="16384" width="18.90625" style="155"/>
  </cols>
  <sheetData>
    <row r="1" spans="2:10" ht="20.25" customHeight="1" x14ac:dyDescent="0.35"/>
    <row r="2" spans="2:10" ht="20.25" customHeight="1" thickBot="1" x14ac:dyDescent="0.5">
      <c r="B2" s="513" t="s">
        <v>254</v>
      </c>
      <c r="C2" s="514"/>
      <c r="D2" s="297"/>
    </row>
    <row r="3" spans="2:10" ht="20.25" customHeight="1" thickBot="1" x14ac:dyDescent="0.4">
      <c r="B3" s="159" t="s">
        <v>248</v>
      </c>
      <c r="C3" s="159" t="s">
        <v>249</v>
      </c>
      <c r="D3" s="159">
        <v>2018</v>
      </c>
      <c r="E3" s="298">
        <f>+D3+1</f>
        <v>2019</v>
      </c>
      <c r="F3" s="298">
        <f t="shared" ref="F3:J3" si="0">+E3+1</f>
        <v>2020</v>
      </c>
      <c r="G3" s="298">
        <f t="shared" si="0"/>
        <v>2021</v>
      </c>
      <c r="H3" s="298">
        <f t="shared" si="0"/>
        <v>2022</v>
      </c>
      <c r="I3" s="298">
        <f t="shared" si="0"/>
        <v>2023</v>
      </c>
      <c r="J3" s="298">
        <f t="shared" si="0"/>
        <v>2024</v>
      </c>
    </row>
    <row r="4" spans="2:10" ht="18.5" thickBot="1" x14ac:dyDescent="0.45">
      <c r="B4" s="300" t="s">
        <v>10</v>
      </c>
      <c r="C4" s="301" t="s">
        <v>167</v>
      </c>
      <c r="D4" s="302">
        <f>IFERROR(Data!L26/Data!L11,"")</f>
        <v>2.3692579904165793E-2</v>
      </c>
      <c r="E4" s="302">
        <f>IFERROR(Data!M26/Data!M11,"")</f>
        <v>2.5234716348002378E-2</v>
      </c>
      <c r="F4" s="302">
        <f>IFERROR(Data!N26/Data!N11,"")</f>
        <v>1.7392654709216554E-2</v>
      </c>
      <c r="G4" s="302">
        <f>IFERROR(Data!O26/Data!O11,"")</f>
        <v>3.9425141719644383E-2</v>
      </c>
      <c r="H4" s="302">
        <f>IFERROR(Data!P26/Data!P11,"")</f>
        <v>4.1620177632474824E-2</v>
      </c>
      <c r="I4" s="302">
        <f>IFERROR(Data!Q26/Data!Q11,"")</f>
        <v>4.5749520190002523E-2</v>
      </c>
      <c r="J4" s="302">
        <f>IFERROR(Data!R26/Data!R11,"")</f>
        <v>5.1839972887719819E-2</v>
      </c>
    </row>
    <row r="5" spans="2:10" ht="18.5" thickBot="1" x14ac:dyDescent="0.45">
      <c r="B5" s="300" t="s">
        <v>10</v>
      </c>
      <c r="C5" s="303" t="s">
        <v>168</v>
      </c>
      <c r="D5" s="304">
        <f>IFERROR((Data!L11/Data!L42),"")</f>
        <v>1.2161809915306081</v>
      </c>
      <c r="E5" s="304">
        <f>IFERROR((Data!M11/Data!M42),"")</f>
        <v>1.2468359505745845</v>
      </c>
      <c r="F5" s="304">
        <f>IFERROR((Data!N11/Data!N42),"")</f>
        <v>1.7445239164764124</v>
      </c>
      <c r="G5" s="304">
        <f>IFERROR((Data!O11/Data!O42),"")</f>
        <v>1.6014852825492594</v>
      </c>
      <c r="H5" s="304">
        <f>IFERROR((Data!P11/Data!P42),"")</f>
        <v>1.8619971117445984</v>
      </c>
      <c r="I5" s="304">
        <f>IFERROR((Data!Q11/Data!Q42),"")</f>
        <v>1.7561093318554342</v>
      </c>
      <c r="J5" s="304">
        <f>IFERROR((Data!R11/Data!R42),"")</f>
        <v>1.6627548206813139</v>
      </c>
    </row>
    <row r="6" spans="2:10" ht="18.5" thickBot="1" x14ac:dyDescent="0.45">
      <c r="B6" s="300" t="s">
        <v>10</v>
      </c>
      <c r="C6" s="305" t="s">
        <v>169</v>
      </c>
      <c r="D6" s="306">
        <f>IFERROR((Data!L26/Data!L42),"")</f>
        <v>2.8814465319766516E-2</v>
      </c>
      <c r="E6" s="306">
        <f>IFERROR((Data!M26/Data!M42),"")</f>
        <v>3.1463551545241546E-2</v>
      </c>
      <c r="F6" s="306">
        <f>IFERROR((Data!N26/Data!N42),"")</f>
        <v>3.0341902111244382E-2</v>
      </c>
      <c r="G6" s="306">
        <f>IFERROR((Data!O26/Data!O42),"")</f>
        <v>6.3138784226429281E-2</v>
      </c>
      <c r="H6" s="306">
        <f>IFERROR((Data!P26/Data!P42),"")</f>
        <v>7.7496650541965265E-2</v>
      </c>
      <c r="I6" s="306">
        <f>IFERROR((Data!Q26/Data!Q42),"")</f>
        <v>8.0341159333572013E-2</v>
      </c>
      <c r="J6" s="306">
        <f>IFERROR((Data!R26/Data!R42),"")</f>
        <v>8.6197164823044736E-2</v>
      </c>
    </row>
    <row r="7" spans="2:10" ht="18.5" thickBot="1" x14ac:dyDescent="0.45">
      <c r="B7" s="300" t="s">
        <v>10</v>
      </c>
      <c r="C7" s="303" t="s">
        <v>170</v>
      </c>
      <c r="D7" s="304">
        <f>IFERROR((Data!L42/Data!L63),"")</f>
        <v>2.175421928721017</v>
      </c>
      <c r="E7" s="304">
        <f>IFERROR((Data!M42/Data!M63),"")</f>
        <v>2.4323704324043547</v>
      </c>
      <c r="F7" s="304">
        <f>IFERROR((Data!N42/Data!N63),"")</f>
        <v>5.47582097121846</v>
      </c>
      <c r="G7" s="304">
        <f>IFERROR((Data!O42/Data!O63),"")</f>
        <v>5.8724842303667337</v>
      </c>
      <c r="H7" s="304">
        <f>IFERROR((Data!P42/Data!P63),"")</f>
        <v>15.523332847401072</v>
      </c>
      <c r="I7" s="304">
        <f>IFERROR((Data!Q42/Data!Q63),"")</f>
        <v>7.0413308192260144</v>
      </c>
      <c r="J7" s="304">
        <f>IFERROR((Data!R42/Data!R63),"")</f>
        <v>6.56252661030351</v>
      </c>
    </row>
    <row r="8" spans="2:10" ht="18.5" thickBot="1" x14ac:dyDescent="0.45">
      <c r="B8" s="300" t="s">
        <v>10</v>
      </c>
      <c r="C8" s="307" t="s">
        <v>171</v>
      </c>
      <c r="D8" s="308">
        <f>IFERROR((Data!L26/Data!L63),"")</f>
        <v>6.2683619720991332E-2</v>
      </c>
      <c r="E8" s="308">
        <f>IFERROR((Data!M26/Data!M63),"")</f>
        <v>7.6531012477075888E-2</v>
      </c>
      <c r="F8" s="308">
        <f>IFERROR((Data!N26/Data!N63),"")</f>
        <v>0.16614682388740964</v>
      </c>
      <c r="G8" s="308">
        <f>IFERROR((Data!O26/Data!O63),"")</f>
        <v>0.37078151469423382</v>
      </c>
      <c r="H8" s="308">
        <f>IFERROR((Data!P26/Data!P63),"")</f>
        <v>1.2030063009216514</v>
      </c>
      <c r="I8" s="308">
        <f>IFERROR((Data!Q26/Data!Q63),"")</f>
        <v>0.56570868126782836</v>
      </c>
      <c r="J8" s="308">
        <f>IFERROR((Data!R26/Data!R63),"")</f>
        <v>0.56567118788394866</v>
      </c>
    </row>
    <row r="9" spans="2:10" ht="18.5" thickBot="1" x14ac:dyDescent="0.45">
      <c r="B9" s="309" t="s">
        <v>173</v>
      </c>
      <c r="C9" s="301" t="s">
        <v>174</v>
      </c>
      <c r="D9" s="310">
        <f>IFERROR(Data!L11,"")</f>
        <v>801619698.79483998</v>
      </c>
      <c r="E9" s="310">
        <f>IFERROR(Data!M11,"")</f>
        <v>742385161.11955917</v>
      </c>
      <c r="F9" s="310">
        <f>IFERROR(Data!N11,"")</f>
        <v>629829965.80925071</v>
      </c>
      <c r="G9" s="310">
        <f>IFERROR(Data!O11,"")</f>
        <v>516476423.01720613</v>
      </c>
      <c r="H9" s="310">
        <f>IFERROR(Data!P11,"")</f>
        <v>594682925.04107368</v>
      </c>
      <c r="I9" s="310">
        <f>IFERROR(Data!Q11,"")</f>
        <v>599963806.97050941</v>
      </c>
      <c r="J9" s="310">
        <f>IFERROR(Data!R11,"")</f>
        <v>552048926.84052622</v>
      </c>
    </row>
    <row r="10" spans="2:10" ht="18.5" thickBot="1" x14ac:dyDescent="0.45">
      <c r="B10" s="309" t="s">
        <v>173</v>
      </c>
      <c r="C10" s="303" t="s">
        <v>175</v>
      </c>
      <c r="D10" s="311" t="s">
        <v>11</v>
      </c>
      <c r="E10" s="312">
        <f>E9/D9-1</f>
        <v>-7.3893565445477871E-2</v>
      </c>
      <c r="F10" s="312">
        <f t="shared" ref="F10:J10" si="1">F9/E9-1</f>
        <v>-0.15161293787253072</v>
      </c>
      <c r="G10" s="312">
        <f t="shared" si="1"/>
        <v>-0.179974832804914</v>
      </c>
      <c r="H10" s="313">
        <f t="shared" si="1"/>
        <v>0.15142317933312932</v>
      </c>
      <c r="I10" s="313">
        <f t="shared" si="1"/>
        <v>8.8801640455222763E-3</v>
      </c>
      <c r="J10" s="314">
        <f t="shared" si="1"/>
        <v>-7.9862951020207795E-2</v>
      </c>
    </row>
    <row r="11" spans="2:10" ht="18.5" thickBot="1" x14ac:dyDescent="0.45">
      <c r="B11" s="309" t="s">
        <v>173</v>
      </c>
      <c r="C11" s="315" t="s">
        <v>17</v>
      </c>
      <c r="D11" s="316">
        <f>IFERROR(Data!L13,"")</f>
        <v>327653642.34290785</v>
      </c>
      <c r="E11" s="316">
        <f>IFERROR(Data!M13,"")</f>
        <v>311816818.29741079</v>
      </c>
      <c r="F11" s="316">
        <f>IFERROR(Data!N13,"")</f>
        <v>268559139.96472245</v>
      </c>
      <c r="G11" s="316">
        <f>IFERROR(Data!O13,"")</f>
        <v>221876379.2003099</v>
      </c>
      <c r="H11" s="316">
        <f>IFERROR(Data!P13,"")</f>
        <v>262015989.54914004</v>
      </c>
      <c r="I11" s="316">
        <f>IFERROR(Data!Q13,"")</f>
        <v>276224865.95174265</v>
      </c>
      <c r="J11" s="316">
        <f>IFERROR(Data!R13,"")</f>
        <v>253729671.51319331</v>
      </c>
    </row>
    <row r="12" spans="2:10" ht="18.5" thickBot="1" x14ac:dyDescent="0.45">
      <c r="B12" s="309" t="s">
        <v>173</v>
      </c>
      <c r="C12" s="303" t="s">
        <v>176</v>
      </c>
      <c r="D12" s="318">
        <f>D11/D9</f>
        <v>0.40873950931533287</v>
      </c>
      <c r="E12" s="312">
        <f t="shared" ref="E12:J12" si="2">E11/E9</f>
        <v>0.42002027334055714</v>
      </c>
      <c r="F12" s="312">
        <f t="shared" si="2"/>
        <v>0.42639943245580325</v>
      </c>
      <c r="G12" s="312">
        <f t="shared" si="2"/>
        <v>0.42959633646804091</v>
      </c>
      <c r="H12" s="313">
        <f t="shared" si="2"/>
        <v>0.44059780181353458</v>
      </c>
      <c r="I12" s="313">
        <f t="shared" si="2"/>
        <v>0.46040254885795168</v>
      </c>
      <c r="J12" s="314">
        <f t="shared" si="2"/>
        <v>0.4596144638217724</v>
      </c>
    </row>
    <row r="13" spans="2:10" ht="18.5" thickBot="1" x14ac:dyDescent="0.45">
      <c r="B13" s="309" t="s">
        <v>173</v>
      </c>
      <c r="C13" s="315" t="s">
        <v>177</v>
      </c>
      <c r="D13" s="319" t="s">
        <v>11</v>
      </c>
      <c r="E13" s="320">
        <f>E11/D11-1</f>
        <v>-4.8334039360145242E-2</v>
      </c>
      <c r="F13" s="320">
        <f t="shared" ref="F13:J13" si="3">F11/E11-1</f>
        <v>-0.13872785492740536</v>
      </c>
      <c r="G13" s="320">
        <f t="shared" si="3"/>
        <v>-0.17382674360122219</v>
      </c>
      <c r="H13" s="321">
        <f t="shared" si="3"/>
        <v>0.18090979532612672</v>
      </c>
      <c r="I13" s="321">
        <f t="shared" si="3"/>
        <v>5.42290431475283E-2</v>
      </c>
      <c r="J13" s="322">
        <f t="shared" si="3"/>
        <v>-8.1437977573240339E-2</v>
      </c>
    </row>
    <row r="14" spans="2:10" ht="18.5" thickBot="1" x14ac:dyDescent="0.45">
      <c r="B14" s="309" t="s">
        <v>173</v>
      </c>
      <c r="C14" s="303" t="s">
        <v>19</v>
      </c>
      <c r="D14" s="323">
        <f>IFERROR(Data!L15,"")</f>
        <v>84313692.223296747</v>
      </c>
      <c r="E14" s="323">
        <f>IFERROR(Data!M15,"")</f>
        <v>85071853.770182118</v>
      </c>
      <c r="F14" s="323">
        <f>IFERROR(Data!N15,"")</f>
        <v>75025705.758925945</v>
      </c>
      <c r="G14" s="323">
        <f>IFERROR(Data!O15,"")</f>
        <v>73289474.101991773</v>
      </c>
      <c r="H14" s="323">
        <f>IFERROR(Data!P15,"")</f>
        <v>88357088.822312057</v>
      </c>
      <c r="I14" s="323">
        <f>IFERROR(Data!Q15,"")</f>
        <v>89867962.466487944</v>
      </c>
      <c r="J14" s="323">
        <f>IFERROR(Data!R15,"")</f>
        <v>81407185.168089852</v>
      </c>
    </row>
    <row r="15" spans="2:10" ht="18.5" thickBot="1" x14ac:dyDescent="0.45">
      <c r="B15" s="309" t="s">
        <v>173</v>
      </c>
      <c r="C15" s="324" t="s">
        <v>178</v>
      </c>
      <c r="D15" s="325">
        <f>D14/D9</f>
        <v>0.10517916706644619</v>
      </c>
      <c r="E15" s="326">
        <f t="shared" ref="E15:J15" si="4">E14/E9</f>
        <v>0.11459261071690725</v>
      </c>
      <c r="F15" s="326">
        <f t="shared" si="4"/>
        <v>0.1191205719507606</v>
      </c>
      <c r="G15" s="326">
        <f t="shared" si="4"/>
        <v>0.14190284558168528</v>
      </c>
      <c r="H15" s="327">
        <f t="shared" si="4"/>
        <v>0.14857848628529127</v>
      </c>
      <c r="I15" s="327">
        <f t="shared" si="4"/>
        <v>0.1497889729720068</v>
      </c>
      <c r="J15" s="328">
        <f t="shared" si="4"/>
        <v>0.14746371419286619</v>
      </c>
    </row>
    <row r="16" spans="2:10" ht="18.5" thickBot="1" x14ac:dyDescent="0.45">
      <c r="B16" s="309" t="s">
        <v>173</v>
      </c>
      <c r="C16" s="303" t="s">
        <v>179</v>
      </c>
      <c r="D16" s="311" t="s">
        <v>11</v>
      </c>
      <c r="E16" s="312">
        <f>E14/D14-1</f>
        <v>8.9921521272897653E-3</v>
      </c>
      <c r="F16" s="312">
        <f t="shared" ref="F16:J16" si="5">F14/E14-1</f>
        <v>-0.11809015045558313</v>
      </c>
      <c r="G16" s="312">
        <f t="shared" si="5"/>
        <v>-2.31418237172345E-2</v>
      </c>
      <c r="H16" s="313">
        <f t="shared" si="5"/>
        <v>0.20559043307299141</v>
      </c>
      <c r="I16" s="313">
        <f t="shared" si="5"/>
        <v>1.7099631329120513E-2</v>
      </c>
      <c r="J16" s="314">
        <f t="shared" si="5"/>
        <v>-9.4146757823213578E-2</v>
      </c>
    </row>
    <row r="17" spans="2:10" ht="18.5" thickBot="1" x14ac:dyDescent="0.45">
      <c r="B17" s="309" t="s">
        <v>173</v>
      </c>
      <c r="C17" s="324" t="s">
        <v>180</v>
      </c>
      <c r="D17" s="329">
        <f>IFERROR(Data!L17,"")</f>
        <v>53780899.543611407</v>
      </c>
      <c r="E17" s="329">
        <f>IFERROR(Data!M17,"")</f>
        <v>55954080.017437965</v>
      </c>
      <c r="F17" s="329">
        <f>IFERROR(Data!N17,"")</f>
        <v>49324962.590806119</v>
      </c>
      <c r="G17" s="329">
        <f>IFERROR(Data!O17,"")</f>
        <v>54885107.653033689</v>
      </c>
      <c r="H17" s="329">
        <f>IFERROR(Data!P17,"")</f>
        <v>70205384.725614935</v>
      </c>
      <c r="I17" s="329">
        <f>IFERROR(Data!Q17,"")</f>
        <v>70931970.50938338</v>
      </c>
      <c r="J17" s="329">
        <f>IFERROR(Data!R17,"")</f>
        <v>62406646.665128089</v>
      </c>
    </row>
    <row r="18" spans="2:10" ht="18.5" thickBot="1" x14ac:dyDescent="0.45">
      <c r="B18" s="309" t="s">
        <v>173</v>
      </c>
      <c r="C18" s="303" t="s">
        <v>181</v>
      </c>
      <c r="D18" s="318">
        <f>D17/D9</f>
        <v>6.7090291848448766E-2</v>
      </c>
      <c r="E18" s="312">
        <f t="shared" ref="E18:J18" si="6">E17/E9</f>
        <v>7.5370687545877155E-2</v>
      </c>
      <c r="F18" s="312">
        <f t="shared" si="6"/>
        <v>7.8314728209906412E-2</v>
      </c>
      <c r="G18" s="312">
        <f t="shared" si="6"/>
        <v>0.10626837006886028</v>
      </c>
      <c r="H18" s="313">
        <f t="shared" si="6"/>
        <v>0.11805515472092287</v>
      </c>
      <c r="I18" s="313">
        <f t="shared" si="6"/>
        <v>0.11822708250944539</v>
      </c>
      <c r="J18" s="314">
        <f t="shared" si="6"/>
        <v>0.11304549946739753</v>
      </c>
    </row>
    <row r="19" spans="2:10" ht="18.5" thickBot="1" x14ac:dyDescent="0.45">
      <c r="B19" s="309" t="s">
        <v>173</v>
      </c>
      <c r="C19" s="324" t="s">
        <v>182</v>
      </c>
      <c r="D19" s="331" t="s">
        <v>11</v>
      </c>
      <c r="E19" s="326">
        <f>E17/D17-1</f>
        <v>4.0408035050888413E-2</v>
      </c>
      <c r="F19" s="326">
        <f t="shared" ref="F19:J19" si="7">F17/E17-1</f>
        <v>-0.11847424574876209</v>
      </c>
      <c r="G19" s="326">
        <f t="shared" si="7"/>
        <v>0.11272476997811132</v>
      </c>
      <c r="H19" s="327">
        <f t="shared" si="7"/>
        <v>0.27913358883125827</v>
      </c>
      <c r="I19" s="327">
        <f t="shared" si="7"/>
        <v>1.0349430981799745E-2</v>
      </c>
      <c r="J19" s="328">
        <f t="shared" si="7"/>
        <v>-0.1201901453326677</v>
      </c>
    </row>
    <row r="20" spans="2:10" ht="18.5" thickBot="1" x14ac:dyDescent="0.45">
      <c r="B20" s="309" t="s">
        <v>173</v>
      </c>
      <c r="C20" s="303" t="s">
        <v>30</v>
      </c>
      <c r="D20" s="323">
        <f>IFERROR(Data!L26,"")</f>
        <v>18992438.766450062</v>
      </c>
      <c r="E20" s="323">
        <f>IFERROR(Data!M26,"")</f>
        <v>18733878.961818118</v>
      </c>
      <c r="F20" s="323">
        <f>IFERROR(Data!N26,"")</f>
        <v>10954415.120837966</v>
      </c>
      <c r="G20" s="323">
        <f>IFERROR(Data!O26,"")</f>
        <v>20362156.172308356</v>
      </c>
      <c r="H20" s="323">
        <f>IFERROR(Data!P26,"")</f>
        <v>24750808.975209199</v>
      </c>
      <c r="I20" s="323">
        <f>IFERROR(Data!Q26,"")</f>
        <v>27448056.300268095</v>
      </c>
      <c r="J20" s="323">
        <f>IFERROR(Data!R26,"")</f>
        <v>28618201.4001077</v>
      </c>
    </row>
    <row r="21" spans="2:10" ht="18.5" thickBot="1" x14ac:dyDescent="0.45">
      <c r="B21" s="309" t="s">
        <v>173</v>
      </c>
      <c r="C21" s="324" t="s">
        <v>167</v>
      </c>
      <c r="D21" s="325">
        <f>+D20/D9</f>
        <v>2.3692579904165793E-2</v>
      </c>
      <c r="E21" s="326">
        <f t="shared" ref="E21:J21" si="8">+E20/E9</f>
        <v>2.5234716348002378E-2</v>
      </c>
      <c r="F21" s="326">
        <f t="shared" si="8"/>
        <v>1.7392654709216554E-2</v>
      </c>
      <c r="G21" s="326">
        <f t="shared" si="8"/>
        <v>3.9425141719644383E-2</v>
      </c>
      <c r="H21" s="327">
        <f t="shared" si="8"/>
        <v>4.1620177632474824E-2</v>
      </c>
      <c r="I21" s="327">
        <f t="shared" si="8"/>
        <v>4.5749520190002523E-2</v>
      </c>
      <c r="J21" s="328">
        <f t="shared" si="8"/>
        <v>5.1839972887719819E-2</v>
      </c>
    </row>
    <row r="22" spans="2:10" ht="18.5" thickBot="1" x14ac:dyDescent="0.45">
      <c r="B22" s="309" t="s">
        <v>173</v>
      </c>
      <c r="C22" s="303" t="s">
        <v>183</v>
      </c>
      <c r="D22" s="311" t="s">
        <v>11</v>
      </c>
      <c r="E22" s="312">
        <f>E20/D20-1</f>
        <v>-1.3613828524680405E-2</v>
      </c>
      <c r="F22" s="332">
        <f t="shared" ref="F22:J22" si="9">F20/E20-1</f>
        <v>-0.41526177556904409</v>
      </c>
      <c r="G22" s="332">
        <f t="shared" si="9"/>
        <v>0.85880815613556361</v>
      </c>
      <c r="H22" s="333">
        <f t="shared" si="9"/>
        <v>0.21552986657028095</v>
      </c>
      <c r="I22" s="333">
        <f t="shared" si="9"/>
        <v>0.10897612792214195</v>
      </c>
      <c r="J22" s="334">
        <f t="shared" si="9"/>
        <v>4.2631255453530192E-2</v>
      </c>
    </row>
    <row r="23" spans="2:10" ht="18.5" thickBot="1" x14ac:dyDescent="0.45">
      <c r="B23" s="309" t="s">
        <v>173</v>
      </c>
      <c r="C23" s="335" t="s">
        <v>184</v>
      </c>
      <c r="D23" s="336">
        <f>IFERROR(Data!L25/Data!L24,"")</f>
        <v>0.37742389974416968</v>
      </c>
      <c r="E23" s="336">
        <f>IFERROR(Data!M25/Data!M24,"")</f>
        <v>0.40415311731400938</v>
      </c>
      <c r="F23" s="336">
        <f>IFERROR(Data!N25/Data!N24,"")</f>
        <v>0.54358161648177505</v>
      </c>
      <c r="G23" s="336">
        <f>IFERROR(Data!O25/Data!O24,"")</f>
        <v>0.42639153495943682</v>
      </c>
      <c r="H23" s="336">
        <f>IFERROR(Data!P25/Data!P24,"")</f>
        <v>0.44867978591524199</v>
      </c>
      <c r="I23" s="336">
        <f>IFERROR(Data!Q25/Data!Q24,"")</f>
        <v>0.4201169607204554</v>
      </c>
      <c r="J23" s="336">
        <f>IFERROR(Data!R25/Data!R24,"")</f>
        <v>0.12185219107330014</v>
      </c>
    </row>
    <row r="24" spans="2:10" ht="18.5" thickBot="1" x14ac:dyDescent="0.45">
      <c r="B24" s="337" t="s">
        <v>185</v>
      </c>
      <c r="C24" s="301" t="s">
        <v>186</v>
      </c>
      <c r="D24" s="338" t="str">
        <f>IFERROR(ROUNDUP((Data!L32/Data!L11)*360,0)&amp;" días","")</f>
        <v>16 días</v>
      </c>
      <c r="E24" s="338" t="str">
        <f>IFERROR(ROUNDUP((Data!M32/Data!M11)*360,0)&amp;" días","")</f>
        <v>15 días</v>
      </c>
      <c r="F24" s="338" t="str">
        <f>IFERROR(ROUNDUP((Data!N32/Data!N11)*360,0)&amp;" días","")</f>
        <v>17 días</v>
      </c>
      <c r="G24" s="338" t="str">
        <f>IFERROR(ROUNDUP((Data!O32/Data!O11)*360,0)&amp;" días","")</f>
        <v>22 días</v>
      </c>
      <c r="H24" s="338" t="str">
        <f>IFERROR(ROUNDUP((Data!P32/Data!P11)*360,0)&amp;" días","")</f>
        <v>27 días</v>
      </c>
      <c r="I24" s="338" t="str">
        <f>IFERROR(ROUNDUP((Data!Q32/Data!Q11)*360,0)&amp;" días","")</f>
        <v>27 días</v>
      </c>
      <c r="J24" s="338" t="str">
        <f>IFERROR(ROUNDUP((Data!R32/Data!R11)*360,0)&amp;" días","")</f>
        <v>30 días</v>
      </c>
    </row>
    <row r="25" spans="2:10" ht="18.5" thickBot="1" x14ac:dyDescent="0.45">
      <c r="B25" s="337" t="s">
        <v>185</v>
      </c>
      <c r="C25" s="303" t="s">
        <v>193</v>
      </c>
      <c r="D25" s="339" t="str">
        <f>IFERROR(ROUNDUP((Data!L34/Data!L12)*360,0)&amp;" días","")</f>
        <v>48 días</v>
      </c>
      <c r="E25" s="339" t="str">
        <f>IFERROR(ROUNDUP((Data!M34/Data!M12)*360,0)&amp;" días","")</f>
        <v>51 días</v>
      </c>
      <c r="F25" s="339" t="str">
        <f>IFERROR(ROUNDUP((Data!N34/Data!N12)*360,0)&amp;" días","")</f>
        <v>48 días</v>
      </c>
      <c r="G25" s="339" t="str">
        <f>IFERROR(ROUNDUP((Data!O34/Data!O12)*360,0)&amp;" días","")</f>
        <v>45 días</v>
      </c>
      <c r="H25" s="339" t="str">
        <f>IFERROR(ROUNDUP((Data!P34/Data!P12)*360,0)&amp;" días","")</f>
        <v>48 días</v>
      </c>
      <c r="I25" s="339" t="str">
        <f>IFERROR(ROUNDUP((Data!Q34/Data!Q12)*360,0)&amp;" días","")</f>
        <v>42 días</v>
      </c>
      <c r="J25" s="339" t="str">
        <f>IFERROR(ROUNDUP((Data!R34/Data!R12)*360,0)&amp;" días","")</f>
        <v>53 días</v>
      </c>
    </row>
    <row r="26" spans="2:10" ht="18.5" thickBot="1" x14ac:dyDescent="0.45">
      <c r="B26" s="337" t="s">
        <v>185</v>
      </c>
      <c r="C26" s="340" t="s">
        <v>199</v>
      </c>
      <c r="D26" s="341" t="str">
        <f>IFERROR(ROUNDUP(((Data!L32/Data!L11)*360)+((Data!L34/Data!L12)*360),0)&amp;" días","")</f>
        <v>63 días</v>
      </c>
      <c r="E26" s="341" t="str">
        <f>IFERROR(ROUNDUP(((Data!M32/Data!M11)*360)+((Data!M34/Data!M12)*360),0)&amp;" días","")</f>
        <v>66 días</v>
      </c>
      <c r="F26" s="341" t="str">
        <f>IFERROR(ROUNDUP(((Data!N32/Data!N11)*360)+((Data!N34/Data!N12)*360),0)&amp;" días","")</f>
        <v>64 días</v>
      </c>
      <c r="G26" s="341" t="str">
        <f>IFERROR(ROUNDUP(((Data!O32/Data!O11)*360)+((Data!O34/Data!O12)*360),0)&amp;" días","")</f>
        <v>66 días</v>
      </c>
      <c r="H26" s="341" t="str">
        <f>IFERROR(ROUNDUP(((Data!P32/Data!P11)*360)+((Data!P34/Data!P12)*360),0)&amp;" días","")</f>
        <v>74 días</v>
      </c>
      <c r="I26" s="341" t="str">
        <f>IFERROR(ROUNDUP(((Data!Q32/Data!Q11)*360)+((Data!Q34/Data!Q12)*360),0)&amp;" días","")</f>
        <v>68 días</v>
      </c>
      <c r="J26" s="341" t="str">
        <f>IFERROR(ROUNDUP(((Data!R32/Data!R11)*360)+((Data!R34/Data!R12)*360),0)&amp;" días","")</f>
        <v>83 días</v>
      </c>
    </row>
    <row r="27" spans="2:10" ht="18.5" thickBot="1" x14ac:dyDescent="0.45">
      <c r="B27" s="337" t="s">
        <v>185</v>
      </c>
      <c r="C27" s="342" t="s">
        <v>206</v>
      </c>
      <c r="D27" s="343" t="str">
        <f>IFERROR(ROUNDUP((Data!L45/Data!L12)*360,0)&amp;" días","")</f>
        <v>22 días</v>
      </c>
      <c r="E27" s="343" t="str">
        <f>IFERROR(ROUNDUP((Data!M45/Data!M12)*360,0)&amp;" días","")</f>
        <v>21 días</v>
      </c>
      <c r="F27" s="343" t="str">
        <f>IFERROR(ROUNDUP((Data!N45/Data!N12)*360,0)&amp;" días","")</f>
        <v>28 días</v>
      </c>
      <c r="G27" s="343" t="str">
        <f>IFERROR(ROUNDUP((Data!O45/Data!O12)*360,0)&amp;" días","")</f>
        <v>30 días</v>
      </c>
      <c r="H27" s="343" t="str">
        <f>IFERROR(ROUNDUP((Data!P45/Data!P12)*360,0)&amp;" días","")</f>
        <v>28 días</v>
      </c>
      <c r="I27" s="343" t="str">
        <f>IFERROR(ROUNDUP((Data!Q45/Data!Q12)*360,0)&amp;" días","")</f>
        <v>25 días</v>
      </c>
      <c r="J27" s="343" t="str">
        <f>IFERROR(ROUNDUP((Data!R45/Data!R12)*360,0)&amp;" días","")</f>
        <v>36 días</v>
      </c>
    </row>
    <row r="28" spans="2:10" ht="18.5" thickBot="1" x14ac:dyDescent="0.45">
      <c r="B28" s="337" t="s">
        <v>185</v>
      </c>
      <c r="C28" s="344" t="s">
        <v>211</v>
      </c>
      <c r="D28" s="345" t="str">
        <f>IFERROR(ROUNDUP(((Data!L32/Data!L11)*360)+((Data!L34/Data!L12)*360),0)-ROUNDUP((Data!L45/Data!L12)*360,0)&amp;" días","")</f>
        <v>41 días</v>
      </c>
      <c r="E28" s="345" t="str">
        <f>IFERROR(ROUNDUP(((Data!M32/Data!M11)*360)+((Data!M34/Data!M12)*360),0)-ROUNDUP((Data!M45/Data!M12)*360,0)&amp;" días","")</f>
        <v>45 días</v>
      </c>
      <c r="F28" s="345" t="str">
        <f>IFERROR(ROUNDUP(((Data!N32/Data!N11)*360)+((Data!N34/Data!N12)*360),0)-ROUNDUP((Data!N45/Data!N12)*360,0)&amp;" días","")</f>
        <v>36 días</v>
      </c>
      <c r="G28" s="345" t="str">
        <f>IFERROR(ROUNDUP(((Data!O32/Data!O11)*360)+((Data!O34/Data!O12)*360),0)-ROUNDUP((Data!O45/Data!O12)*360,0)&amp;" días","")</f>
        <v>36 días</v>
      </c>
      <c r="H28" s="345" t="str">
        <f>IFERROR(ROUNDUP(((Data!P32/Data!P11)*360)+((Data!P34/Data!P12)*360),0)-ROUNDUP((Data!P45/Data!P12)*360,0)&amp;" días","")</f>
        <v>46 días</v>
      </c>
      <c r="I28" s="345" t="str">
        <f>IFERROR(ROUNDUP(((Data!Q32/Data!Q11)*360)+((Data!Q34/Data!Q12)*360),0)-ROUNDUP((Data!Q45/Data!Q12)*360,0)&amp;" días","")</f>
        <v>43 días</v>
      </c>
      <c r="J28" s="345" t="str">
        <f>IFERROR(ROUNDUP(((Data!R32/Data!R11)*360)+((Data!R34/Data!R12)*360),0)-ROUNDUP((Data!R45/Data!R12)*360,0)&amp;" días","")</f>
        <v>47 días</v>
      </c>
    </row>
    <row r="29" spans="2:10" ht="18.5" thickBot="1" x14ac:dyDescent="0.45">
      <c r="B29" s="337" t="s">
        <v>185</v>
      </c>
      <c r="C29" s="346" t="s">
        <v>216</v>
      </c>
      <c r="D29" s="347">
        <f>IFERROR(ROUNDUP(Data!L11/Data!L32,0),"")</f>
        <v>24</v>
      </c>
      <c r="E29" s="347">
        <f>IFERROR(ROUNDUP(Data!M11/Data!M32,0),"")</f>
        <v>25</v>
      </c>
      <c r="F29" s="347">
        <f>IFERROR(ROUNDUP(Data!N11/Data!N32,0),"")</f>
        <v>22</v>
      </c>
      <c r="G29" s="347">
        <f>IFERROR(ROUNDUP(Data!O11/Data!O32,0),"")</f>
        <v>17</v>
      </c>
      <c r="H29" s="347">
        <f>IFERROR(ROUNDUP(Data!P11/Data!P32,0),"")</f>
        <v>14</v>
      </c>
      <c r="I29" s="347">
        <f>IFERROR(ROUNDUP(Data!Q11/Data!Q32,0),"")</f>
        <v>14</v>
      </c>
      <c r="J29" s="347">
        <f>IFERROR(ROUNDUP(Data!R11/Data!R32,0),"")</f>
        <v>13</v>
      </c>
    </row>
    <row r="30" spans="2:10" ht="18.5" thickBot="1" x14ac:dyDescent="0.45">
      <c r="B30" s="337" t="s">
        <v>185</v>
      </c>
      <c r="C30" s="324" t="s">
        <v>217</v>
      </c>
      <c r="D30" s="348">
        <f>IFERROR(ROUNDUP((Data!L12/Data!L34),0),"")</f>
        <v>8</v>
      </c>
      <c r="E30" s="348">
        <f>IFERROR(ROUNDUP((Data!M12/Data!M34),0),"")</f>
        <v>8</v>
      </c>
      <c r="F30" s="348">
        <f>IFERROR(ROUNDUP((Data!N12/Data!N34),0),"")</f>
        <v>8</v>
      </c>
      <c r="G30" s="348">
        <f>IFERROR(ROUNDUP((Data!O12/Data!O34),0),"")</f>
        <v>9</v>
      </c>
      <c r="H30" s="348">
        <f>IFERROR(ROUNDUP((Data!P12/Data!P34),0),"")</f>
        <v>8</v>
      </c>
      <c r="I30" s="348">
        <f>IFERROR(ROUNDUP((Data!Q12/Data!Q34),0),"")</f>
        <v>9</v>
      </c>
      <c r="J30" s="348">
        <f>IFERROR(ROUNDUP((Data!R12/Data!R34),0),"")</f>
        <v>7</v>
      </c>
    </row>
    <row r="31" spans="2:10" ht="18.5" thickBot="1" x14ac:dyDescent="0.45">
      <c r="B31" s="337" t="s">
        <v>185</v>
      </c>
      <c r="C31" s="303" t="s">
        <v>218</v>
      </c>
      <c r="D31" s="349">
        <f>IFERROR(ROUNDUP((Data!L12/Data!L45),0),"")</f>
        <v>17</v>
      </c>
      <c r="E31" s="349">
        <f>IFERROR(ROUNDUP((Data!M12/Data!M45),0),"")</f>
        <v>18</v>
      </c>
      <c r="F31" s="349">
        <f>IFERROR(ROUNDUP((Data!N12/Data!N45),0),"")</f>
        <v>14</v>
      </c>
      <c r="G31" s="349">
        <f>IFERROR(ROUNDUP((Data!O12/Data!O45),0),"")</f>
        <v>13</v>
      </c>
      <c r="H31" s="349">
        <f>IFERROR(ROUNDUP((Data!P12/Data!P45),0),"")</f>
        <v>14</v>
      </c>
      <c r="I31" s="349">
        <f>IFERROR(ROUNDUP((Data!Q12/Data!Q45),0),"")</f>
        <v>15</v>
      </c>
      <c r="J31" s="349">
        <f>IFERROR(ROUNDUP((Data!R12/Data!R45),0),"")</f>
        <v>11</v>
      </c>
    </row>
    <row r="32" spans="2:10" ht="18.5" thickBot="1" x14ac:dyDescent="0.45">
      <c r="B32" s="337" t="s">
        <v>185</v>
      </c>
      <c r="C32" s="350" t="s">
        <v>168</v>
      </c>
      <c r="D32" s="351">
        <f t="shared" ref="D32:J32" si="10">D5</f>
        <v>1.2161809915306081</v>
      </c>
      <c r="E32" s="351">
        <f t="shared" si="10"/>
        <v>1.2468359505745845</v>
      </c>
      <c r="F32" s="351">
        <f t="shared" si="10"/>
        <v>1.7445239164764124</v>
      </c>
      <c r="G32" s="351">
        <f t="shared" si="10"/>
        <v>1.6014852825492594</v>
      </c>
      <c r="H32" s="351">
        <f t="shared" si="10"/>
        <v>1.8619971117445984</v>
      </c>
      <c r="I32" s="351">
        <f t="shared" si="10"/>
        <v>1.7561093318554342</v>
      </c>
      <c r="J32" s="351">
        <f t="shared" si="10"/>
        <v>1.6627548206813139</v>
      </c>
    </row>
    <row r="33" spans="2:11" ht="18.5" thickBot="1" x14ac:dyDescent="0.45">
      <c r="B33" s="352" t="s">
        <v>219</v>
      </c>
      <c r="C33" s="301" t="s">
        <v>220</v>
      </c>
      <c r="D33" s="353">
        <f>IFERROR(Data!L36/Data!L51,"")</f>
        <v>1.350094712032043</v>
      </c>
      <c r="E33" s="353">
        <f>IFERROR(Data!M36/Data!M51,"")</f>
        <v>1.3216252194547877</v>
      </c>
      <c r="F33" s="353">
        <f>IFERROR(Data!N36/Data!N51,"")</f>
        <v>1.1771718530292843</v>
      </c>
      <c r="G33" s="353">
        <f>IFERROR(Data!O36/Data!O51,"")</f>
        <v>1.1383390828775768</v>
      </c>
      <c r="H33" s="353">
        <f>IFERROR(Data!P36/Data!P51,"")</f>
        <v>0.8892901986101861</v>
      </c>
      <c r="I33" s="353">
        <f>IFERROR(Data!Q36/Data!Q51,"")</f>
        <v>0.85422002865620106</v>
      </c>
      <c r="J33" s="353">
        <f>IFERROR(Data!R36/Data!R51,"")</f>
        <v>0.6251135036969776</v>
      </c>
    </row>
    <row r="34" spans="2:11" ht="18.5" thickBot="1" x14ac:dyDescent="0.45">
      <c r="B34" s="352" t="s">
        <v>219</v>
      </c>
      <c r="C34" s="303" t="s">
        <v>221</v>
      </c>
      <c r="D34" s="354">
        <f>IFERROR((Data!L36-Data!L34)/Data!L51,"")</f>
        <v>0.95340312622004986</v>
      </c>
      <c r="E34" s="354">
        <f>IFERROR((Data!M36-Data!M34)/Data!M51,"")</f>
        <v>0.86915285628846506</v>
      </c>
      <c r="F34" s="354">
        <f>IFERROR((Data!N36-Data!N34)/Data!N51,"")</f>
        <v>0.68425051747176846</v>
      </c>
      <c r="G34" s="354">
        <f>IFERROR((Data!O36-Data!O34)/Data!O51,"")</f>
        <v>0.75015229280605811</v>
      </c>
      <c r="H34" s="354">
        <f>IFERROR((Data!P36-Data!P34)/Data!P51,"")</f>
        <v>0.55636269361570168</v>
      </c>
      <c r="I34" s="354">
        <f>IFERROR((Data!Q36-Data!Q34)/Data!Q51,"")</f>
        <v>0.56500042906290071</v>
      </c>
      <c r="J34" s="354">
        <f>IFERROR((Data!R36-Data!R34)/Data!R51,"")</f>
        <v>0.38666898026088586</v>
      </c>
    </row>
    <row r="35" spans="2:11" ht="18.5" thickBot="1" x14ac:dyDescent="0.45">
      <c r="B35" s="352" t="s">
        <v>219</v>
      </c>
      <c r="C35" s="315" t="s">
        <v>222</v>
      </c>
      <c r="D35" s="358">
        <f>IFERROR((Data!L36-SUM(Data!L32:'Data'!L34))/Data!L51,"")</f>
        <v>0.73847549778041266</v>
      </c>
      <c r="E35" s="358">
        <f>IFERROR((Data!M36-SUM(Data!M32:'Data'!M34))/Data!M51,"")</f>
        <v>0.64891478401790381</v>
      </c>
      <c r="F35" s="358">
        <f>IFERROR((Data!N36-SUM(Data!N32:'Data'!N34))/Data!N51,"")</f>
        <v>0.38373260901841949</v>
      </c>
      <c r="G35" s="358">
        <f>IFERROR((Data!O36-SUM(Data!O32:'Data'!O34))/Data!O51,"")</f>
        <v>0.42971813209928483</v>
      </c>
      <c r="H35" s="358">
        <f>IFERROR((Data!P36-SUM(Data!P32:'Data'!P34))/Data!P51,"")</f>
        <v>0.22605570438752109</v>
      </c>
      <c r="I35" s="358">
        <f>IFERROR((Data!Q36-SUM(Data!Q32:'Data'!Q34))/Data!Q51,"")</f>
        <v>0.22662582334570244</v>
      </c>
      <c r="J35" s="358">
        <f>IFERROR((Data!R36-SUM(Data!R32:'Data'!R34))/Data!R51,"")</f>
        <v>0.15614065529748497</v>
      </c>
    </row>
    <row r="36" spans="2:11" ht="18.5" thickBot="1" x14ac:dyDescent="0.45">
      <c r="B36" s="352" t="s">
        <v>219</v>
      </c>
      <c r="C36" s="303" t="s">
        <v>223</v>
      </c>
      <c r="D36" s="323">
        <f>IFERROR(Data!L36-Data!L51,"")</f>
        <v>54770024.261549681</v>
      </c>
      <c r="E36" s="323">
        <f>IFERROR(Data!M36-Data!M51,"")</f>
        <v>43259654.458359092</v>
      </c>
      <c r="F36" s="323">
        <f>IFERROR(Data!N36-Data!N51,"")</f>
        <v>16958277.254374176</v>
      </c>
      <c r="G36" s="323">
        <f>IFERROR(Data!O36-Data!O51,"")</f>
        <v>13051084.785694107</v>
      </c>
      <c r="H36" s="323">
        <f>IFERROR(Data!P36-Data!P51,"")</f>
        <v>-14515564.649699584</v>
      </c>
      <c r="I36" s="323">
        <f>IFERROR(Data!Q36-Data!Q51,"")</f>
        <v>-18787198.391420901</v>
      </c>
      <c r="J36" s="323">
        <f>IFERROR(Data!R36-Data!R51,"")</f>
        <v>-68476036.61820139</v>
      </c>
    </row>
    <row r="37" spans="2:11" s="4" customFormat="1" ht="18.5" thickBot="1" x14ac:dyDescent="0.45">
      <c r="B37" s="352" t="s">
        <v>219</v>
      </c>
      <c r="C37" s="324" t="s">
        <v>224</v>
      </c>
      <c r="D37" s="359">
        <f>IFERROR(SUM(Data!L32:'Data'!L34)-Data!L45,"")</f>
        <v>67738359.828755304</v>
      </c>
      <c r="E37" s="359">
        <f>IFERROR(SUM(Data!M32:'Data'!M34)-Data!M45,"")</f>
        <v>65558456.11704199</v>
      </c>
      <c r="F37" s="359">
        <f>IFERROR(SUM(Data!N32:'Data'!N34)-Data!N45,"")</f>
        <v>48266219.706912547</v>
      </c>
      <c r="G37" s="359">
        <f>IFERROR(SUM(Data!O32:'Data'!O34)-Data!O45,"")</f>
        <v>43055815.740426175</v>
      </c>
      <c r="H37" s="359">
        <f>IFERROR(SUM(Data!P32:'Data'!P34)-Data!P45,"")</f>
        <v>61577426.675686762</v>
      </c>
      <c r="I37" s="359">
        <f>IFERROR(SUM(Data!Q32:'Data'!Q34)-Data!Q45,"")</f>
        <v>58423592.493297592</v>
      </c>
      <c r="J37" s="359">
        <f>IFERROR(SUM(Data!R32:'Data'!R34)-Data!R45,"")</f>
        <v>56401877.067466736</v>
      </c>
      <c r="K37" s="155"/>
    </row>
    <row r="38" spans="2:11" ht="18.5" thickBot="1" x14ac:dyDescent="0.45">
      <c r="B38" s="352" t="s">
        <v>219</v>
      </c>
      <c r="C38" s="303" t="s">
        <v>225</v>
      </c>
      <c r="D38" s="360" t="s">
        <v>11</v>
      </c>
      <c r="E38" s="312">
        <f>E37/D37-1</f>
        <v>-3.2181229619733576E-2</v>
      </c>
      <c r="F38" s="312">
        <f t="shared" ref="F38:J38" si="11">F37/E37-1</f>
        <v>-0.26376820679330037</v>
      </c>
      <c r="G38" s="312">
        <f t="shared" si="11"/>
        <v>-0.10795135807456147</v>
      </c>
      <c r="H38" s="313">
        <f t="shared" si="11"/>
        <v>0.43017675119484933</v>
      </c>
      <c r="I38" s="313">
        <f t="shared" si="11"/>
        <v>-5.121737546779348E-2</v>
      </c>
      <c r="J38" s="314">
        <f t="shared" si="11"/>
        <v>-3.4604435289781077E-2</v>
      </c>
    </row>
    <row r="39" spans="2:11" ht="18.5" thickBot="1" x14ac:dyDescent="0.45">
      <c r="B39" s="352" t="s">
        <v>219</v>
      </c>
      <c r="C39" s="350" t="s">
        <v>226</v>
      </c>
      <c r="D39" s="361" t="s">
        <v>11</v>
      </c>
      <c r="E39" s="362">
        <f t="shared" ref="E39:J39" si="12">E65/E14</f>
        <v>0.54637424685984215</v>
      </c>
      <c r="F39" s="362">
        <f t="shared" si="12"/>
        <v>7.4662669896756684E-2</v>
      </c>
      <c r="G39" s="362">
        <f t="shared" si="12"/>
        <v>0.26716555084546878</v>
      </c>
      <c r="H39" s="363">
        <f t="shared" si="12"/>
        <v>0.22795618817496141</v>
      </c>
      <c r="I39" s="363">
        <f t="shared" si="12"/>
        <v>0.25840193737474054</v>
      </c>
      <c r="J39" s="364">
        <f t="shared" si="12"/>
        <v>-5.4991173195893667E-2</v>
      </c>
    </row>
    <row r="40" spans="2:11" ht="18.5" thickBot="1" x14ac:dyDescent="0.45">
      <c r="B40" s="365" t="s">
        <v>227</v>
      </c>
      <c r="C40" s="301" t="s">
        <v>167</v>
      </c>
      <c r="D40" s="366">
        <f t="shared" ref="D40:J40" si="13">D4</f>
        <v>2.3692579904165793E-2</v>
      </c>
      <c r="E40" s="367">
        <f t="shared" si="13"/>
        <v>2.5234716348002378E-2</v>
      </c>
      <c r="F40" s="367">
        <f t="shared" si="13"/>
        <v>1.7392654709216554E-2</v>
      </c>
      <c r="G40" s="367">
        <f t="shared" si="13"/>
        <v>3.9425141719644383E-2</v>
      </c>
      <c r="H40" s="368">
        <f t="shared" si="13"/>
        <v>4.1620177632474824E-2</v>
      </c>
      <c r="I40" s="368">
        <f t="shared" si="13"/>
        <v>4.5749520190002523E-2</v>
      </c>
      <c r="J40" s="369">
        <f t="shared" si="13"/>
        <v>5.1839972887719819E-2</v>
      </c>
    </row>
    <row r="41" spans="2:11" ht="18.5" thickBot="1" x14ac:dyDescent="0.45">
      <c r="B41" s="365" t="s">
        <v>227</v>
      </c>
      <c r="C41" s="303" t="s">
        <v>168</v>
      </c>
      <c r="D41" s="370">
        <f t="shared" ref="D41:J41" si="14">D6</f>
        <v>2.8814465319766516E-2</v>
      </c>
      <c r="E41" s="312">
        <f t="shared" si="14"/>
        <v>3.1463551545241546E-2</v>
      </c>
      <c r="F41" s="312">
        <f t="shared" si="14"/>
        <v>3.0341902111244382E-2</v>
      </c>
      <c r="G41" s="312">
        <f t="shared" si="14"/>
        <v>6.3138784226429281E-2</v>
      </c>
      <c r="H41" s="313">
        <f t="shared" si="14"/>
        <v>7.7496650541965265E-2</v>
      </c>
      <c r="I41" s="313">
        <f t="shared" si="14"/>
        <v>8.0341159333572013E-2</v>
      </c>
      <c r="J41" s="314">
        <f t="shared" si="14"/>
        <v>8.6197164823044736E-2</v>
      </c>
    </row>
    <row r="42" spans="2:11" ht="18.5" thickBot="1" x14ac:dyDescent="0.45">
      <c r="B42" s="365" t="s">
        <v>227</v>
      </c>
      <c r="C42" s="315" t="s">
        <v>228</v>
      </c>
      <c r="D42" s="371">
        <f>IFERROR(Data!L26/Data!L37,"")</f>
        <v>0.10790342895332099</v>
      </c>
      <c r="E42" s="371">
        <f>IFERROR(Data!M26/Data!M37,"")</f>
        <v>0.12115404624374462</v>
      </c>
      <c r="F42" s="371">
        <f>IFERROR(Data!N26/Data!N37,"")</f>
        <v>5.9985854983829363E-2</v>
      </c>
      <c r="G42" s="371">
        <f>IFERROR(Data!O26/Data!O37,"")</f>
        <v>0.1423782247679943</v>
      </c>
      <c r="H42" s="371">
        <f>IFERROR(Data!P26/Data!P37,"")</f>
        <v>0.16439126315882671</v>
      </c>
      <c r="I42" s="371">
        <f>IFERROR(Data!Q26/Data!Q37,"")</f>
        <v>0.16347520278469693</v>
      </c>
      <c r="J42" s="371">
        <f>IFERROR(Data!R26/Data!R37,"")</f>
        <v>0.19509872202596226</v>
      </c>
    </row>
    <row r="43" spans="2:11" ht="18.5" thickBot="1" x14ac:dyDescent="0.45">
      <c r="B43" s="365" t="s">
        <v>227</v>
      </c>
      <c r="C43" s="303" t="s">
        <v>171</v>
      </c>
      <c r="D43" s="370">
        <f t="shared" ref="D43:J43" si="15">D8</f>
        <v>6.2683619720991332E-2</v>
      </c>
      <c r="E43" s="312">
        <f t="shared" si="15"/>
        <v>7.6531012477075888E-2</v>
      </c>
      <c r="F43" s="312">
        <f t="shared" si="15"/>
        <v>0.16614682388740964</v>
      </c>
      <c r="G43" s="312">
        <f t="shared" si="15"/>
        <v>0.37078151469423382</v>
      </c>
      <c r="H43" s="313">
        <f t="shared" si="15"/>
        <v>1.2030063009216514</v>
      </c>
      <c r="I43" s="313">
        <f t="shared" si="15"/>
        <v>0.56570868126782836</v>
      </c>
      <c r="J43" s="314">
        <f t="shared" si="15"/>
        <v>0.56567118788394866</v>
      </c>
    </row>
    <row r="44" spans="2:11" ht="18.5" thickBot="1" x14ac:dyDescent="0.45">
      <c r="B44" s="365" t="s">
        <v>227</v>
      </c>
      <c r="C44" s="324" t="s">
        <v>76</v>
      </c>
      <c r="D44" s="372" t="s">
        <v>11</v>
      </c>
      <c r="E44" s="330">
        <f>IFERROR(IF(Data!M70&gt;0,Data!M70,(SUM(Data!L61:L62)-Data!M61)-(Data!M49-Data!L49)),"")</f>
        <v>15571171.302086847</v>
      </c>
      <c r="F44" s="330">
        <f>IFERROR(IF(Data!N70&gt;0,Data!N70,(SUM(Data!M61:M62)-Data!N61)-(Data!N49-Data!M49)),"")</f>
        <v>12540648.53748861</v>
      </c>
      <c r="G44" s="330">
        <f>IFERROR(IF(Data!O70&gt;0,Data!O70,(SUM(Data!N61:N62)-Data!O61)-(Data!O49-Data!N49)),"")</f>
        <v>11621002.898900449</v>
      </c>
      <c r="H44" s="330">
        <f>IFERROR(IF(Data!P70&gt;0,Data!P70,(SUM(Data!O61:O62)-Data!P61)-(Data!P49-Data!O49)),"")</f>
        <v>13546793.925437646</v>
      </c>
      <c r="I44" s="330">
        <f>IFERROR(IF(Data!Q70&gt;0,Data!Q70,(SUM(Data!P61:P62)-Data!Q61)-(Data!Q49-Data!P49)),"")</f>
        <v>15013069.705093835</v>
      </c>
      <c r="J44" s="330">
        <f>IFERROR(IF(Data!R70&gt;0,Data!R70,(SUM(Data!Q61:Q62)-Data!R61)-(Data!R49-Data!Q49)),"")</f>
        <v>14783598.73836449</v>
      </c>
    </row>
    <row r="45" spans="2:11" ht="18.5" thickBot="1" x14ac:dyDescent="0.45">
      <c r="B45" s="365" t="s">
        <v>227</v>
      </c>
      <c r="C45" s="303" t="s">
        <v>229</v>
      </c>
      <c r="D45" s="373" t="s">
        <v>11</v>
      </c>
      <c r="E45" s="374" t="s">
        <v>11</v>
      </c>
      <c r="F45" s="312">
        <f>F44/E44-1</f>
        <v>-0.1946239435560051</v>
      </c>
      <c r="G45" s="312">
        <f t="shared" ref="G45:J45" si="16">G44/F44-1</f>
        <v>-7.3333180165204515E-2</v>
      </c>
      <c r="H45" s="313">
        <f t="shared" si="16"/>
        <v>0.1657164225231722</v>
      </c>
      <c r="I45" s="313">
        <f t="shared" si="16"/>
        <v>0.10823784488984312</v>
      </c>
      <c r="J45" s="314">
        <f t="shared" si="16"/>
        <v>-1.5284746639888547E-2</v>
      </c>
    </row>
    <row r="46" spans="2:11" ht="18.5" thickBot="1" x14ac:dyDescent="0.45">
      <c r="B46" s="365" t="s">
        <v>227</v>
      </c>
      <c r="C46" s="350" t="s">
        <v>230</v>
      </c>
      <c r="D46" s="375" t="s">
        <v>11</v>
      </c>
      <c r="E46" s="362">
        <f t="shared" ref="E46:J46" si="17">E44/D20</f>
        <v>0.81986160353419979</v>
      </c>
      <c r="F46" s="362">
        <f t="shared" si="17"/>
        <v>0.66941013994207765</v>
      </c>
      <c r="G46" s="362">
        <f t="shared" si="17"/>
        <v>1.060851060573236</v>
      </c>
      <c r="H46" s="363">
        <f t="shared" si="17"/>
        <v>0.66529270332680657</v>
      </c>
      <c r="I46" s="363">
        <f t="shared" si="17"/>
        <v>0.60656884872454719</v>
      </c>
      <c r="J46" s="364">
        <f t="shared" si="17"/>
        <v>0.53860275484133613</v>
      </c>
    </row>
    <row r="47" spans="2:11" ht="18.5" thickBot="1" x14ac:dyDescent="0.45">
      <c r="B47" s="376" t="s">
        <v>231</v>
      </c>
      <c r="C47" s="377" t="s">
        <v>22</v>
      </c>
      <c r="D47" s="378">
        <f>IFERROR(Data!L18,"")</f>
        <v>19480497.446599141</v>
      </c>
      <c r="E47" s="378">
        <f>IFERROR(Data!M18,"")</f>
        <v>17364790.874130048</v>
      </c>
      <c r="F47" s="378">
        <f>IFERROR(Data!N18,"")</f>
        <v>15168069.685595579</v>
      </c>
      <c r="G47" s="378">
        <f>IFERROR(Data!O18,"")</f>
        <v>13083153.673475219</v>
      </c>
      <c r="H47" s="378">
        <f>IFERROR(Data!P18,"")</f>
        <v>17766128.682878386</v>
      </c>
      <c r="I47" s="378">
        <f>IFERROR(Data!Q18,"")</f>
        <v>16773123.324396782</v>
      </c>
      <c r="J47" s="378">
        <f>IFERROR(Data!R18,"")</f>
        <v>13685975.844295716</v>
      </c>
    </row>
    <row r="48" spans="2:11" ht="18.5" thickBot="1" x14ac:dyDescent="0.45">
      <c r="B48" s="376" t="s">
        <v>231</v>
      </c>
      <c r="C48" s="324" t="s">
        <v>232</v>
      </c>
      <c r="D48" s="359">
        <f>IFERROR(SUM(Data!L46:'Data'!L48)+Data!L52,"")</f>
        <v>227837441.96173573</v>
      </c>
      <c r="E48" s="359">
        <f>IFERROR(SUM(Data!M46:'Data'!M48)+Data!M52,"")</f>
        <v>231283507.10752895</v>
      </c>
      <c r="F48" s="359">
        <f>IFERROR(SUM(Data!N46:'Data'!N48)+Data!N52,"")</f>
        <v>194077643.93135098</v>
      </c>
      <c r="G48" s="359">
        <f>IFERROR(SUM(Data!O46:'Data'!O48)+Data!O52,"")</f>
        <v>170562666.09937546</v>
      </c>
      <c r="H48" s="359">
        <f>IFERROR(SUM(Data!P46:'Data'!P48)+Data!P52,"")</f>
        <v>170416668.05522692</v>
      </c>
      <c r="I48" s="359">
        <f>IFERROR(SUM(Data!Q46:'Data'!Q48)+Data!Q52,"")</f>
        <v>172054959.78552282</v>
      </c>
      <c r="J48" s="359">
        <f>IFERROR(SUM(Data!R46:'Data'!R48)+Data!R52,"")</f>
        <v>149171167.01284716</v>
      </c>
    </row>
    <row r="49" spans="2:10" ht="18.5" thickBot="1" x14ac:dyDescent="0.45">
      <c r="B49" s="376" t="s">
        <v>231</v>
      </c>
      <c r="C49" s="303" t="s">
        <v>233</v>
      </c>
      <c r="D49" s="379" t="s">
        <v>11</v>
      </c>
      <c r="E49" s="312">
        <f>E48/D48-1</f>
        <v>1.5125104618985308E-2</v>
      </c>
      <c r="F49" s="312">
        <f t="shared" ref="F49:J49" si="18">F48/E48-1</f>
        <v>-0.16086691023273059</v>
      </c>
      <c r="G49" s="312">
        <f t="shared" si="18"/>
        <v>-0.12116273340732242</v>
      </c>
      <c r="H49" s="313">
        <f t="shared" si="18"/>
        <v>-8.5597890492328244E-4</v>
      </c>
      <c r="I49" s="313">
        <f t="shared" si="18"/>
        <v>9.613447727806701E-3</v>
      </c>
      <c r="J49" s="314">
        <f t="shared" si="18"/>
        <v>-0.13300280794695907</v>
      </c>
    </row>
    <row r="50" spans="2:10" ht="18.5" thickBot="1" x14ac:dyDescent="0.45">
      <c r="B50" s="376" t="s">
        <v>231</v>
      </c>
      <c r="C50" s="380" t="s">
        <v>234</v>
      </c>
      <c r="D50" s="381">
        <f t="shared" ref="D50:J50" si="19">D48/D14</f>
        <v>2.7022590987752033</v>
      </c>
      <c r="E50" s="382">
        <f t="shared" si="19"/>
        <v>2.7186842281858721</v>
      </c>
      <c r="F50" s="382">
        <f t="shared" si="19"/>
        <v>2.5868153050764366</v>
      </c>
      <c r="G50" s="382">
        <f t="shared" si="19"/>
        <v>2.3272464182512138</v>
      </c>
      <c r="H50" s="383">
        <f t="shared" si="19"/>
        <v>1.9287266061689559</v>
      </c>
      <c r="I50" s="383">
        <f t="shared" si="19"/>
        <v>1.9145305519715401</v>
      </c>
      <c r="J50" s="384">
        <f t="shared" si="19"/>
        <v>1.8324078729025943</v>
      </c>
    </row>
    <row r="51" spans="2:10" ht="18.5" thickBot="1" x14ac:dyDescent="0.45">
      <c r="B51" s="376" t="s">
        <v>231</v>
      </c>
      <c r="C51" s="385" t="s">
        <v>235</v>
      </c>
      <c r="D51" s="354">
        <f t="shared" ref="D51:J51" si="20">D48/D9</f>
        <v>0.28422136120690139</v>
      </c>
      <c r="E51" s="355">
        <f t="shared" si="20"/>
        <v>0.31154112342269913</v>
      </c>
      <c r="F51" s="355">
        <f t="shared" si="20"/>
        <v>0.30814291867168642</v>
      </c>
      <c r="G51" s="355">
        <f t="shared" si="20"/>
        <v>0.33024288911963218</v>
      </c>
      <c r="H51" s="356">
        <f t="shared" si="20"/>
        <v>0.28656727960275058</v>
      </c>
      <c r="I51" s="356">
        <f t="shared" si="20"/>
        <v>0.28677556510334629</v>
      </c>
      <c r="J51" s="357">
        <f t="shared" si="20"/>
        <v>0.27021367085446601</v>
      </c>
    </row>
    <row r="52" spans="2:10" ht="18.5" thickBot="1" x14ac:dyDescent="0.45">
      <c r="B52" s="376" t="s">
        <v>231</v>
      </c>
      <c r="C52" s="324" t="s">
        <v>236</v>
      </c>
      <c r="D52" s="331" t="s">
        <v>11</v>
      </c>
      <c r="E52" s="326">
        <f>AVERAGE(D47:E47)/AVERAGE(D48:E48)</f>
        <v>8.0251812502614803E-2</v>
      </c>
      <c r="F52" s="326">
        <f t="shared" ref="F52:J52" si="21">AVERAGE(E47:F47)/AVERAGE(E48:F48)</f>
        <v>7.6482914531026305E-2</v>
      </c>
      <c r="G52" s="326">
        <f t="shared" si="21"/>
        <v>7.7476961767310393E-2</v>
      </c>
      <c r="H52" s="327">
        <f t="shared" si="21"/>
        <v>9.0472586653495904E-2</v>
      </c>
      <c r="I52" s="327">
        <f t="shared" si="21"/>
        <v>0.10085288590194108</v>
      </c>
      <c r="J52" s="328">
        <f t="shared" si="21"/>
        <v>9.4821362982754301E-2</v>
      </c>
    </row>
    <row r="53" spans="2:10" ht="18.5" thickBot="1" x14ac:dyDescent="0.45">
      <c r="B53" s="376" t="s">
        <v>231</v>
      </c>
      <c r="C53" s="303" t="s">
        <v>237</v>
      </c>
      <c r="D53" s="354">
        <f t="shared" ref="D53:J53" si="22">D14/D47</f>
        <v>4.3281077628752254</v>
      </c>
      <c r="E53" s="355">
        <f t="shared" si="22"/>
        <v>4.8991003915239553</v>
      </c>
      <c r="F53" s="355">
        <f t="shared" si="22"/>
        <v>4.9462922648736525</v>
      </c>
      <c r="G53" s="355">
        <f t="shared" si="22"/>
        <v>5.6018201674554069</v>
      </c>
      <c r="H53" s="356">
        <f t="shared" si="22"/>
        <v>4.9733450882557069</v>
      </c>
      <c r="I53" s="356">
        <f t="shared" si="22"/>
        <v>5.3578549879123303</v>
      </c>
      <c r="J53" s="357">
        <f t="shared" si="22"/>
        <v>5.9482192643223311</v>
      </c>
    </row>
    <row r="54" spans="2:10" ht="18.5" thickBot="1" x14ac:dyDescent="0.45">
      <c r="B54" s="376" t="s">
        <v>231</v>
      </c>
      <c r="C54" s="324" t="s">
        <v>238</v>
      </c>
      <c r="D54" s="381">
        <f>IFERROR(D14/(D47+Data!L47),"")</f>
        <v>4.3281077628752254</v>
      </c>
      <c r="E54" s="381">
        <f>IFERROR(E14/(E47+Data!M47),"")</f>
        <v>4.8991003915239553</v>
      </c>
      <c r="F54" s="381">
        <f>IFERROR(F14/(F47+Data!N47),"")</f>
        <v>4.9462922648736525</v>
      </c>
      <c r="G54" s="381">
        <f>IFERROR(G14/(G47+Data!O47),"")</f>
        <v>5.6018201674554069</v>
      </c>
      <c r="H54" s="381">
        <f>IFERROR(H14/(H47+Data!P47),"")</f>
        <v>4.9733450882557069</v>
      </c>
      <c r="I54" s="381">
        <f>IFERROR(I14/(I47+Data!Q47),"")</f>
        <v>5.3578549879123303</v>
      </c>
      <c r="J54" s="381">
        <f>IFERROR(J14/(J47+Data!R47),"")</f>
        <v>1.5565512088067261</v>
      </c>
    </row>
    <row r="55" spans="2:10" ht="18.5" thickBot="1" x14ac:dyDescent="0.45">
      <c r="B55" s="376" t="s">
        <v>231</v>
      </c>
      <c r="C55" s="303" t="s">
        <v>239</v>
      </c>
      <c r="D55" s="370">
        <f>IFERROR(Data!L55/Data!L42,"")</f>
        <v>0.5403190586628297</v>
      </c>
      <c r="E55" s="370">
        <f>IFERROR(Data!M55/Data!M42,"")</f>
        <v>0.58887840985161211</v>
      </c>
      <c r="F55" s="370">
        <f>IFERROR(Data!N55/Data!N42,"")</f>
        <v>0.81737898202733172</v>
      </c>
      <c r="G55" s="370">
        <f>IFERROR(Data!O55/Data!O42,"")</f>
        <v>0.82971431496929693</v>
      </c>
      <c r="H55" s="370">
        <f>IFERROR(Data!P55/Data!P42,"")</f>
        <v>0.93558084402168695</v>
      </c>
      <c r="I55" s="370">
        <f>IFERROR(Data!Q55/Data!Q42,"")</f>
        <v>0.85798139220081115</v>
      </c>
      <c r="J55" s="370">
        <f>IFERROR(Data!R55/Data!R42,"")</f>
        <v>0.84761966550658274</v>
      </c>
    </row>
    <row r="56" spans="2:10" ht="18.5" thickBot="1" x14ac:dyDescent="0.45">
      <c r="B56" s="376" t="s">
        <v>231</v>
      </c>
      <c r="C56" s="324" t="s">
        <v>240</v>
      </c>
      <c r="D56" s="325">
        <f>IFERROR(Data!L51/Data!L55,"")</f>
        <v>0.43927544355818388</v>
      </c>
      <c r="E56" s="325">
        <f>IFERROR(Data!M51/Data!M55,"")</f>
        <v>0.38360773180540531</v>
      </c>
      <c r="F56" s="325">
        <f>IFERROR(Data!N51/Data!N55,"")</f>
        <v>0.32435242260798625</v>
      </c>
      <c r="G56" s="325">
        <f>IFERROR(Data!O51/Data!O55,"")</f>
        <v>0.35257018772100535</v>
      </c>
      <c r="H56" s="325">
        <f>IFERROR(Data!P51/Data!P55,"")</f>
        <v>0.4387933890012235</v>
      </c>
      <c r="I56" s="325">
        <f>IFERROR(Data!Q51/Data!Q55,"")</f>
        <v>0.43965578347330803</v>
      </c>
      <c r="J56" s="325">
        <f>IFERROR(Data!R51/Data!R55,"")</f>
        <v>0.6490653720196603</v>
      </c>
    </row>
    <row r="57" spans="2:10" ht="18.5" thickBot="1" x14ac:dyDescent="0.45">
      <c r="B57" s="376" t="s">
        <v>231</v>
      </c>
      <c r="C57" s="303" t="s">
        <v>241</v>
      </c>
      <c r="D57" s="354">
        <f>IFERROR(D48/Data!L63,"")</f>
        <v>0.75196638755846879</v>
      </c>
      <c r="E57" s="354">
        <f>IFERROR(E48/Data!M63,"")</f>
        <v>0.94483160717882386</v>
      </c>
      <c r="F57" s="354">
        <f>IFERROR(F48/Data!N63,"")</f>
        <v>2.9435970584506141</v>
      </c>
      <c r="G57" s="354">
        <f>IFERROR(G48/Data!O63,"")</f>
        <v>3.1058343306795249</v>
      </c>
      <c r="H57" s="354">
        <f>IFERROR(H48/Data!P63,"")</f>
        <v>8.2830555420574363</v>
      </c>
      <c r="I57" s="354">
        <f>IFERROR(I48/Data!Q63,"")</f>
        <v>3.5460793048907684</v>
      </c>
      <c r="J57" s="354">
        <f>IFERROR(J48/Data!R63,"")</f>
        <v>2.9485371936013629</v>
      </c>
    </row>
    <row r="58" spans="2:10" ht="18.5" thickBot="1" x14ac:dyDescent="0.45">
      <c r="B58" s="376" t="s">
        <v>231</v>
      </c>
      <c r="C58" s="350" t="s">
        <v>242</v>
      </c>
      <c r="D58" s="351">
        <f>IFERROR(Data!L55/Data!L63,"")</f>
        <v>1.1754219287210173</v>
      </c>
      <c r="E58" s="351">
        <f>IFERROR(Data!M55/Data!M63,"")</f>
        <v>1.4323704324043547</v>
      </c>
      <c r="F58" s="351">
        <f>IFERROR(Data!N55/Data!N63,"")</f>
        <v>4.47582097121846</v>
      </c>
      <c r="G58" s="351">
        <f>IFERROR(Data!O55/Data!O63,"")</f>
        <v>4.8724842303667337</v>
      </c>
      <c r="H58" s="351">
        <f>IFERROR(Data!P55/Data!P63,"")</f>
        <v>14.523332847401072</v>
      </c>
      <c r="I58" s="351">
        <f>IFERROR(Data!Q55/Data!Q63,"")</f>
        <v>6.0413308192260136</v>
      </c>
      <c r="J58" s="351">
        <f>IFERROR(Data!R55/Data!R63,"")</f>
        <v>5.5625266103035091</v>
      </c>
    </row>
    <row r="59" spans="2:10" ht="18.5" thickBot="1" x14ac:dyDescent="0.45">
      <c r="B59" s="386" t="s">
        <v>243</v>
      </c>
      <c r="C59" s="22" t="s">
        <v>75</v>
      </c>
      <c r="D59" s="4"/>
      <c r="E59" s="387">
        <f>'Flujo de Caja'!E13</f>
        <v>11658527.218280805</v>
      </c>
      <c r="F59" s="387">
        <f>'Flujo de Caja'!F13</f>
        <v>13215267.966862561</v>
      </c>
      <c r="G59" s="387">
        <f>'Flujo de Caja'!G13</f>
        <v>21244526.856899731</v>
      </c>
      <c r="H59" s="387">
        <f>'Flujo de Caja'!H13</f>
        <v>17137610.765452176</v>
      </c>
      <c r="I59" s="387">
        <f>'Flujo de Caja'!I13</f>
        <v>34405160.857908845</v>
      </c>
      <c r="J59" s="387">
        <f>'Flujo de Caja'!J13</f>
        <v>10053081.006231248</v>
      </c>
    </row>
    <row r="60" spans="2:10" ht="18.5" thickBot="1" x14ac:dyDescent="0.45">
      <c r="B60" s="386" t="s">
        <v>243</v>
      </c>
      <c r="C60" s="388" t="s">
        <v>244</v>
      </c>
      <c r="D60" s="4"/>
      <c r="E60" s="379" t="s">
        <v>11</v>
      </c>
      <c r="F60" s="312">
        <f>F59/E59-1</f>
        <v>0.13352807944220912</v>
      </c>
      <c r="G60" s="312">
        <f t="shared" ref="G60:J60" si="23">G59/F59-1</f>
        <v>0.60757442907481174</v>
      </c>
      <c r="H60" s="312">
        <f t="shared" si="23"/>
        <v>-0.19331643011450372</v>
      </c>
      <c r="I60" s="312">
        <f t="shared" si="23"/>
        <v>1.0075821144955888</v>
      </c>
      <c r="J60" s="314">
        <f t="shared" si="23"/>
        <v>-0.70780310989534856</v>
      </c>
    </row>
    <row r="61" spans="2:10" ht="18.5" thickBot="1" x14ac:dyDescent="0.45">
      <c r="B61" s="386" t="s">
        <v>243</v>
      </c>
      <c r="C61" s="389" t="s">
        <v>102</v>
      </c>
      <c r="D61" s="4"/>
      <c r="E61" s="359">
        <f>'Flujo de Caja'!E14</f>
        <v>79417032.208870769</v>
      </c>
      <c r="F61" s="359">
        <f>'Flujo de Caja'!F14</f>
        <v>33310337.725934073</v>
      </c>
      <c r="G61" s="359">
        <f>'Flujo de Caja'!G14</f>
        <v>44284579.292009018</v>
      </c>
      <c r="H61" s="359">
        <f>'Flujo de Caja'!H14</f>
        <v>51454467.77448678</v>
      </c>
      <c r="I61" s="359">
        <f>'Flujo de Caja'!I14</f>
        <v>55008248.638751566</v>
      </c>
      <c r="J61" s="359">
        <f>'Flujo de Caja'!J14</f>
        <v>62606637.482116088</v>
      </c>
    </row>
    <row r="62" spans="2:10" ht="18.5" thickBot="1" x14ac:dyDescent="0.45">
      <c r="B62" s="386" t="s">
        <v>243</v>
      </c>
      <c r="C62" s="390" t="s">
        <v>245</v>
      </c>
      <c r="D62" s="4"/>
      <c r="E62" s="379" t="s">
        <v>11</v>
      </c>
      <c r="F62" s="312">
        <f>F61/E61-1</f>
        <v>-0.58056430970215289</v>
      </c>
      <c r="G62" s="312">
        <f>G61/F61-1</f>
        <v>0.32945452719114421</v>
      </c>
      <c r="H62" s="312">
        <f t="shared" ref="H62:J62" si="24">H61/G61-1</f>
        <v>0.16190485711064539</v>
      </c>
      <c r="I62" s="312">
        <f t="shared" si="24"/>
        <v>6.9066516824937363E-2</v>
      </c>
      <c r="J62" s="314">
        <f t="shared" si="24"/>
        <v>0.13813180807235703</v>
      </c>
    </row>
    <row r="63" spans="2:10" ht="18.5" thickBot="1" x14ac:dyDescent="0.45">
      <c r="B63" s="386" t="s">
        <v>243</v>
      </c>
      <c r="C63" s="389" t="s">
        <v>103</v>
      </c>
      <c r="E63" s="391">
        <f>'Flujo de Caja'!E17</f>
        <v>62052241.334740721</v>
      </c>
      <c r="F63" s="391">
        <f>'Flujo de Caja'!F17</f>
        <v>18142268.040338494</v>
      </c>
      <c r="G63" s="391">
        <f>'Flujo de Caja'!G17</f>
        <v>31201425.618533798</v>
      </c>
      <c r="H63" s="391">
        <f>'Flujo de Caja'!H17</f>
        <v>33688339.09160839</v>
      </c>
      <c r="I63" s="391">
        <f>'Flujo de Caja'!I17</f>
        <v>38235125.314354785</v>
      </c>
      <c r="J63" s="391">
        <f>'Flujo de Caja'!J17</f>
        <v>10306922.119395874</v>
      </c>
    </row>
    <row r="64" spans="2:10" ht="18.5" thickBot="1" x14ac:dyDescent="0.45">
      <c r="B64" s="386" t="s">
        <v>243</v>
      </c>
      <c r="C64" s="390" t="s">
        <v>246</v>
      </c>
      <c r="E64" s="379" t="s">
        <v>11</v>
      </c>
      <c r="F64" s="312">
        <f>F63/E63-1</f>
        <v>-0.707629125876855</v>
      </c>
      <c r="G64" s="312">
        <f t="shared" ref="G64:J64" si="25">G63/F63-1</f>
        <v>0.71981945968160499</v>
      </c>
      <c r="H64" s="312">
        <f t="shared" si="25"/>
        <v>7.9705123204285799E-2</v>
      </c>
      <c r="I64" s="312">
        <f t="shared" si="25"/>
        <v>0.13496617361818752</v>
      </c>
      <c r="J64" s="314">
        <f t="shared" si="25"/>
        <v>-0.73043315447101986</v>
      </c>
    </row>
    <row r="65" spans="2:10" ht="18.5" thickBot="1" x14ac:dyDescent="0.45">
      <c r="B65" s="386" t="s">
        <v>243</v>
      </c>
      <c r="C65" s="389" t="s">
        <v>104</v>
      </c>
      <c r="E65" s="317">
        <f>'Flujo de Caja'!E19</f>
        <v>46481070.032653876</v>
      </c>
      <c r="F65" s="317">
        <f>'Flujo de Caja'!F19</f>
        <v>5601619.5028498843</v>
      </c>
      <c r="G65" s="317">
        <f>'Flujo de Caja'!G19</f>
        <v>19580422.719633348</v>
      </c>
      <c r="H65" s="317">
        <f>'Flujo de Caja'!H19</f>
        <v>20141545.166170746</v>
      </c>
      <c r="I65" s="317">
        <f>'Flujo de Caja'!I19</f>
        <v>23222055.60926095</v>
      </c>
      <c r="J65" s="317">
        <f>'Flujo de Caja'!J19</f>
        <v>-4476676.6189686153</v>
      </c>
    </row>
    <row r="66" spans="2:10" ht="18.5" thickBot="1" x14ac:dyDescent="0.45">
      <c r="B66" s="386" t="s">
        <v>243</v>
      </c>
      <c r="C66" s="392" t="s">
        <v>247</v>
      </c>
      <c r="E66" s="393" t="s">
        <v>11</v>
      </c>
      <c r="F66" s="394">
        <f>F65/E65-1</f>
        <v>-0.87948600368032326</v>
      </c>
      <c r="G66" s="394">
        <f t="shared" ref="G66:J66" si="26">G65/F65-1</f>
        <v>2.495493171157305</v>
      </c>
      <c r="H66" s="394">
        <f t="shared" si="26"/>
        <v>2.8657320353699944E-2</v>
      </c>
      <c r="I66" s="394">
        <f t="shared" si="26"/>
        <v>0.15294310429887759</v>
      </c>
      <c r="J66" s="395">
        <f t="shared" si="26"/>
        <v>-1.192776931305914</v>
      </c>
    </row>
  </sheetData>
  <mergeCells count="1">
    <mergeCell ref="B2:C2"/>
  </mergeCell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1B50DAA-106D-487C-8264-F0347E3AEB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Ejecutivo'!D59:J59</xm:f>
              <xm:sqref>K59</xm:sqref>
            </x14:sparkline>
            <x14:sparkline>
              <xm:f>'Resumen Ejecutivo'!D60:J60</xm:f>
              <xm:sqref>K60</xm:sqref>
            </x14:sparkline>
            <x14:sparkline>
              <xm:f>'Resumen Ejecutivo'!D61:J61</xm:f>
              <xm:sqref>K61</xm:sqref>
            </x14:sparkline>
            <x14:sparkline>
              <xm:f>'Resumen Ejecutivo'!D62:J62</xm:f>
              <xm:sqref>K62</xm:sqref>
            </x14:sparkline>
            <x14:sparkline>
              <xm:f>'Resumen Ejecutivo'!D63:J63</xm:f>
              <xm:sqref>K63</xm:sqref>
            </x14:sparkline>
            <x14:sparkline>
              <xm:f>'Resumen Ejecutivo'!D64:J64</xm:f>
              <xm:sqref>K64</xm:sqref>
            </x14:sparkline>
            <x14:sparkline>
              <xm:f>'Resumen Ejecutivo'!D65:J65</xm:f>
              <xm:sqref>K65</xm:sqref>
            </x14:sparkline>
            <x14:sparkline>
              <xm:f>'Resumen Ejecutivo'!D66:J66</xm:f>
              <xm:sqref>K66</xm:sqref>
            </x14:sparkline>
          </x14:sparklines>
        </x14:sparklineGroup>
        <x14:sparklineGroup displayEmptyCellsAs="gap" xr2:uid="{1D50D180-3860-40BB-9AC2-CD2923B3B03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Ejecutivo'!D47:J47</xm:f>
              <xm:sqref>K47</xm:sqref>
            </x14:sparkline>
            <x14:sparkline>
              <xm:f>'Resumen Ejecutivo'!D48:J48</xm:f>
              <xm:sqref>K48</xm:sqref>
            </x14:sparkline>
            <x14:sparkline>
              <xm:f>'Resumen Ejecutivo'!D49:J49</xm:f>
              <xm:sqref>K49</xm:sqref>
            </x14:sparkline>
            <x14:sparkline>
              <xm:f>'Resumen Ejecutivo'!D50:J50</xm:f>
              <xm:sqref>K50</xm:sqref>
            </x14:sparkline>
            <x14:sparkline>
              <xm:f>'Resumen Ejecutivo'!D51:J51</xm:f>
              <xm:sqref>K51</xm:sqref>
            </x14:sparkline>
            <x14:sparkline>
              <xm:f>'Resumen Ejecutivo'!D52:J52</xm:f>
              <xm:sqref>K52</xm:sqref>
            </x14:sparkline>
            <x14:sparkline>
              <xm:f>'Resumen Ejecutivo'!D53:J53</xm:f>
              <xm:sqref>K53</xm:sqref>
            </x14:sparkline>
            <x14:sparkline>
              <xm:f>'Resumen Ejecutivo'!D54:J54</xm:f>
              <xm:sqref>K54</xm:sqref>
            </x14:sparkline>
            <x14:sparkline>
              <xm:f>'Resumen Ejecutivo'!D55:J55</xm:f>
              <xm:sqref>K55</xm:sqref>
            </x14:sparkline>
            <x14:sparkline>
              <xm:f>'Resumen Ejecutivo'!D56:J56</xm:f>
              <xm:sqref>K56</xm:sqref>
            </x14:sparkline>
            <x14:sparkline>
              <xm:f>'Resumen Ejecutivo'!D57:J57</xm:f>
              <xm:sqref>K57</xm:sqref>
            </x14:sparkline>
            <x14:sparkline>
              <xm:f>'Resumen Ejecutivo'!D58:J58</xm:f>
              <xm:sqref>K58</xm:sqref>
            </x14:sparkline>
          </x14:sparklines>
        </x14:sparklineGroup>
        <x14:sparklineGroup displayEmptyCellsAs="gap" xr2:uid="{B833E745-CAD4-4852-AC41-722EF862123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Ejecutivo'!D40:J40</xm:f>
              <xm:sqref>K40</xm:sqref>
            </x14:sparkline>
            <x14:sparkline>
              <xm:f>'Resumen Ejecutivo'!D41:J41</xm:f>
              <xm:sqref>K41</xm:sqref>
            </x14:sparkline>
            <x14:sparkline>
              <xm:f>'Resumen Ejecutivo'!D42:J42</xm:f>
              <xm:sqref>K42</xm:sqref>
            </x14:sparkline>
            <x14:sparkline>
              <xm:f>'Resumen Ejecutivo'!D43:J43</xm:f>
              <xm:sqref>K43</xm:sqref>
            </x14:sparkline>
            <x14:sparkline>
              <xm:f>'Resumen Ejecutivo'!D44:J44</xm:f>
              <xm:sqref>K44</xm:sqref>
            </x14:sparkline>
            <x14:sparkline>
              <xm:f>'Resumen Ejecutivo'!D45:J45</xm:f>
              <xm:sqref>K45</xm:sqref>
            </x14:sparkline>
            <x14:sparkline>
              <xm:f>'Resumen Ejecutivo'!D46:J46</xm:f>
              <xm:sqref>K46</xm:sqref>
            </x14:sparkline>
          </x14:sparklines>
        </x14:sparklineGroup>
        <x14:sparklineGroup displayEmptyCellsAs="gap" xr2:uid="{C5EEFA78-1EB0-4253-AC03-71F8EAEE249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Ejecutivo'!D33:J33</xm:f>
              <xm:sqref>K33</xm:sqref>
            </x14:sparkline>
            <x14:sparkline>
              <xm:f>'Resumen Ejecutivo'!D34:J34</xm:f>
              <xm:sqref>K34</xm:sqref>
            </x14:sparkline>
            <x14:sparkline>
              <xm:f>'Resumen Ejecutivo'!D35:J35</xm:f>
              <xm:sqref>K35</xm:sqref>
            </x14:sparkline>
            <x14:sparkline>
              <xm:f>'Resumen Ejecutivo'!D36:J36</xm:f>
              <xm:sqref>K36</xm:sqref>
            </x14:sparkline>
            <x14:sparkline>
              <xm:f>'Resumen Ejecutivo'!D37:J37</xm:f>
              <xm:sqref>K37</xm:sqref>
            </x14:sparkline>
            <x14:sparkline>
              <xm:f>'Resumen Ejecutivo'!D38:J38</xm:f>
              <xm:sqref>K38</xm:sqref>
            </x14:sparkline>
            <x14:sparkline>
              <xm:f>'Resumen Ejecutivo'!D39:J39</xm:f>
              <xm:sqref>K39</xm:sqref>
            </x14:sparkline>
          </x14:sparklines>
        </x14:sparklineGroup>
        <x14:sparklineGroup displayEmptyCellsAs="gap" xr2:uid="{3DC5A14C-BB7A-4CAE-AD8F-09EB9DB0299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Ejecutivo'!D24:J24</xm:f>
              <xm:sqref>K24</xm:sqref>
            </x14:sparkline>
            <x14:sparkline>
              <xm:f>'Resumen Ejecutivo'!D25:J25</xm:f>
              <xm:sqref>K25</xm:sqref>
            </x14:sparkline>
            <x14:sparkline>
              <xm:f>'Resumen Ejecutivo'!D26:J26</xm:f>
              <xm:sqref>K26</xm:sqref>
            </x14:sparkline>
            <x14:sparkline>
              <xm:f>'Resumen Ejecutivo'!D27:J27</xm:f>
              <xm:sqref>K27</xm:sqref>
            </x14:sparkline>
            <x14:sparkline>
              <xm:f>'Resumen Ejecutivo'!D28:J28</xm:f>
              <xm:sqref>K28</xm:sqref>
            </x14:sparkline>
            <x14:sparkline>
              <xm:f>'Resumen Ejecutivo'!D29:J29</xm:f>
              <xm:sqref>K29</xm:sqref>
            </x14:sparkline>
            <x14:sparkline>
              <xm:f>'Resumen Ejecutivo'!D30:J30</xm:f>
              <xm:sqref>K30</xm:sqref>
            </x14:sparkline>
            <x14:sparkline>
              <xm:f>'Resumen Ejecutivo'!D31:J31</xm:f>
              <xm:sqref>K31</xm:sqref>
            </x14:sparkline>
            <x14:sparkline>
              <xm:f>'Resumen Ejecutivo'!D32:J32</xm:f>
              <xm:sqref>K32</xm:sqref>
            </x14:sparkline>
          </x14:sparklines>
        </x14:sparklineGroup>
        <x14:sparklineGroup displayEmptyCellsAs="gap" xr2:uid="{D0395AE2-A754-4F23-BC8E-A309362FEEA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Ejecutivo'!D9:J9</xm:f>
              <xm:sqref>K9</xm:sqref>
            </x14:sparkline>
            <x14:sparkline>
              <xm:f>'Resumen Ejecutivo'!D10:J10</xm:f>
              <xm:sqref>K10</xm:sqref>
            </x14:sparkline>
            <x14:sparkline>
              <xm:f>'Resumen Ejecutivo'!D11:J11</xm:f>
              <xm:sqref>K11</xm:sqref>
            </x14:sparkline>
            <x14:sparkline>
              <xm:f>'Resumen Ejecutivo'!D12:J12</xm:f>
              <xm:sqref>K12</xm:sqref>
            </x14:sparkline>
            <x14:sparkline>
              <xm:f>'Resumen Ejecutivo'!D13:J13</xm:f>
              <xm:sqref>K13</xm:sqref>
            </x14:sparkline>
            <x14:sparkline>
              <xm:f>'Resumen Ejecutivo'!D14:J14</xm:f>
              <xm:sqref>K14</xm:sqref>
            </x14:sparkline>
            <x14:sparkline>
              <xm:f>'Resumen Ejecutivo'!D15:J15</xm:f>
              <xm:sqref>K15</xm:sqref>
            </x14:sparkline>
            <x14:sparkline>
              <xm:f>'Resumen Ejecutivo'!D16:J16</xm:f>
              <xm:sqref>K16</xm:sqref>
            </x14:sparkline>
            <x14:sparkline>
              <xm:f>'Resumen Ejecutivo'!D17:J17</xm:f>
              <xm:sqref>K17</xm:sqref>
            </x14:sparkline>
            <x14:sparkline>
              <xm:f>'Resumen Ejecutivo'!D18:J18</xm:f>
              <xm:sqref>K18</xm:sqref>
            </x14:sparkline>
            <x14:sparkline>
              <xm:f>'Resumen Ejecutivo'!D19:J19</xm:f>
              <xm:sqref>K19</xm:sqref>
            </x14:sparkline>
            <x14:sparkline>
              <xm:f>'Resumen Ejecutivo'!D20:J20</xm:f>
              <xm:sqref>K20</xm:sqref>
            </x14:sparkline>
            <x14:sparkline>
              <xm:f>'Resumen Ejecutivo'!D21:J21</xm:f>
              <xm:sqref>K21</xm:sqref>
            </x14:sparkline>
            <x14:sparkline>
              <xm:f>'Resumen Ejecutivo'!D22:J22</xm:f>
              <xm:sqref>K22</xm:sqref>
            </x14:sparkline>
            <x14:sparkline>
              <xm:f>'Resumen Ejecutivo'!D23:J23</xm:f>
              <xm:sqref>K23</xm:sqref>
            </x14:sparkline>
          </x14:sparklines>
        </x14:sparklineGroup>
        <x14:sparklineGroup displayEmptyCellsAs="gap" xr2:uid="{E22288FA-9BE4-43BB-8BBB-B8D9221A171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'Resumen Ejecutivo'!D4:J4</xm:f>
              <xm:sqref>K4</xm:sqref>
            </x14:sparkline>
            <x14:sparkline>
              <xm:f>'Resumen Ejecutivo'!D5:J5</xm:f>
              <xm:sqref>K5</xm:sqref>
            </x14:sparkline>
            <x14:sparkline>
              <xm:f>'Resumen Ejecutivo'!D6:J6</xm:f>
              <xm:sqref>K6</xm:sqref>
            </x14:sparkline>
            <x14:sparkline>
              <xm:f>'Resumen Ejecutivo'!D7:J7</xm:f>
              <xm:sqref>K7</xm:sqref>
            </x14:sparkline>
            <x14:sparkline>
              <xm:f>'Resumen Ejecutivo'!D8:J8</xm:f>
              <xm:sqref>K8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F6285-D662-46EF-A253-74B7FD1F7B4B}">
  <sheetPr codeName="Hoja7"/>
  <dimension ref="A1:D238"/>
  <sheetViews>
    <sheetView topLeftCell="A44" workbookViewId="0">
      <selection activeCell="F65" sqref="F65"/>
    </sheetView>
  </sheetViews>
  <sheetFormatPr baseColWidth="10" defaultRowHeight="14.5" x14ac:dyDescent="0.35"/>
  <cols>
    <col min="1" max="1" width="25" customWidth="1"/>
    <col min="2" max="2" width="25.54296875" customWidth="1"/>
  </cols>
  <sheetData>
    <row r="1" spans="1:4" x14ac:dyDescent="0.35">
      <c r="A1" t="s">
        <v>13</v>
      </c>
      <c r="B1" t="s">
        <v>108</v>
      </c>
      <c r="C1">
        <v>2018</v>
      </c>
      <c r="D1">
        <v>711000000</v>
      </c>
    </row>
    <row r="2" spans="1:4" x14ac:dyDescent="0.35">
      <c r="A2" t="s">
        <v>13</v>
      </c>
      <c r="B2" t="s">
        <v>108</v>
      </c>
      <c r="C2">
        <v>2019</v>
      </c>
      <c r="D2">
        <v>664000000</v>
      </c>
    </row>
    <row r="3" spans="1:4" x14ac:dyDescent="0.35">
      <c r="A3" t="s">
        <v>13</v>
      </c>
      <c r="B3" t="s">
        <v>108</v>
      </c>
      <c r="C3">
        <v>2020</v>
      </c>
      <c r="D3">
        <v>555000000</v>
      </c>
    </row>
    <row r="4" spans="1:4" x14ac:dyDescent="0.35">
      <c r="A4" t="s">
        <v>13</v>
      </c>
      <c r="B4" t="s">
        <v>108</v>
      </c>
      <c r="C4">
        <v>2021</v>
      </c>
      <c r="D4">
        <v>466000000</v>
      </c>
    </row>
    <row r="5" spans="1:4" x14ac:dyDescent="0.35">
      <c r="A5" t="s">
        <v>13</v>
      </c>
      <c r="B5" t="s">
        <v>108</v>
      </c>
      <c r="C5">
        <v>2022</v>
      </c>
      <c r="D5">
        <v>530000000</v>
      </c>
    </row>
    <row r="6" spans="1:4" x14ac:dyDescent="0.35">
      <c r="A6" t="s">
        <v>13</v>
      </c>
      <c r="B6" t="s">
        <v>108</v>
      </c>
      <c r="C6">
        <v>2023</v>
      </c>
      <c r="D6">
        <v>520000000</v>
      </c>
    </row>
    <row r="7" spans="1:4" x14ac:dyDescent="0.35">
      <c r="A7" t="s">
        <v>13</v>
      </c>
      <c r="B7" t="s">
        <v>108</v>
      </c>
      <c r="C7">
        <v>2024</v>
      </c>
      <c r="D7">
        <v>440000000</v>
      </c>
    </row>
    <row r="8" spans="1:4" x14ac:dyDescent="0.35">
      <c r="A8" t="s">
        <v>13</v>
      </c>
      <c r="B8" t="s">
        <v>109</v>
      </c>
      <c r="C8">
        <v>2018</v>
      </c>
      <c r="D8">
        <v>116000000</v>
      </c>
    </row>
    <row r="9" spans="1:4" x14ac:dyDescent="0.35">
      <c r="A9" t="s">
        <v>13</v>
      </c>
      <c r="B9" t="s">
        <v>109</v>
      </c>
      <c r="C9">
        <v>2019</v>
      </c>
      <c r="D9">
        <v>108000000</v>
      </c>
    </row>
    <row r="10" spans="1:4" x14ac:dyDescent="0.35">
      <c r="A10" t="s">
        <v>13</v>
      </c>
      <c r="B10" t="s">
        <v>109</v>
      </c>
      <c r="C10">
        <v>2020</v>
      </c>
      <c r="D10">
        <v>90000000</v>
      </c>
    </row>
    <row r="11" spans="1:4" x14ac:dyDescent="0.35">
      <c r="A11" t="s">
        <v>13</v>
      </c>
      <c r="B11" t="s">
        <v>109</v>
      </c>
      <c r="C11">
        <v>2021</v>
      </c>
      <c r="D11">
        <v>76000000</v>
      </c>
    </row>
    <row r="12" spans="1:4" x14ac:dyDescent="0.35">
      <c r="A12" t="s">
        <v>13</v>
      </c>
      <c r="B12" t="s">
        <v>109</v>
      </c>
      <c r="C12">
        <v>2022</v>
      </c>
      <c r="D12">
        <v>82000000</v>
      </c>
    </row>
    <row r="13" spans="1:4" x14ac:dyDescent="0.35">
      <c r="A13" t="s">
        <v>13</v>
      </c>
      <c r="B13" t="s">
        <v>109</v>
      </c>
      <c r="C13">
        <v>2023</v>
      </c>
      <c r="D13">
        <v>80000000</v>
      </c>
    </row>
    <row r="14" spans="1:4" x14ac:dyDescent="0.35">
      <c r="A14" t="s">
        <v>13</v>
      </c>
      <c r="B14" t="s">
        <v>109</v>
      </c>
      <c r="C14">
        <v>2024</v>
      </c>
      <c r="D14">
        <v>72000000</v>
      </c>
    </row>
    <row r="15" spans="1:4" x14ac:dyDescent="0.35">
      <c r="A15" t="s">
        <v>13</v>
      </c>
      <c r="B15" t="s">
        <v>110</v>
      </c>
      <c r="C15">
        <v>2018</v>
      </c>
      <c r="D15">
        <v>49068724</v>
      </c>
    </row>
    <row r="16" spans="1:4" x14ac:dyDescent="0.35">
      <c r="A16" t="s">
        <v>13</v>
      </c>
      <c r="B16" t="s">
        <v>110</v>
      </c>
      <c r="C16">
        <v>2019</v>
      </c>
      <c r="D16">
        <v>38952186</v>
      </c>
    </row>
    <row r="17" spans="1:4" x14ac:dyDescent="0.35">
      <c r="A17" t="s">
        <v>13</v>
      </c>
      <c r="B17" t="s">
        <v>110</v>
      </c>
      <c r="C17">
        <v>2020</v>
      </c>
      <c r="D17">
        <v>33138819</v>
      </c>
    </row>
    <row r="18" spans="1:4" x14ac:dyDescent="0.35">
      <c r="A18" t="s">
        <v>13</v>
      </c>
      <c r="B18" t="s">
        <v>110</v>
      </c>
      <c r="C18">
        <v>2021</v>
      </c>
      <c r="D18">
        <v>28036546</v>
      </c>
    </row>
    <row r="19" spans="1:4" x14ac:dyDescent="0.35">
      <c r="A19" t="s">
        <v>13</v>
      </c>
      <c r="B19" t="s">
        <v>110</v>
      </c>
      <c r="C19">
        <v>2022</v>
      </c>
      <c r="D19">
        <v>40432258</v>
      </c>
    </row>
    <row r="20" spans="1:4" x14ac:dyDescent="0.35">
      <c r="A20" t="s">
        <v>13</v>
      </c>
      <c r="B20" t="s">
        <v>110</v>
      </c>
      <c r="C20">
        <v>2023</v>
      </c>
      <c r="D20">
        <v>41551609</v>
      </c>
    </row>
    <row r="21" spans="1:4" x14ac:dyDescent="0.35">
      <c r="A21" t="s">
        <v>13</v>
      </c>
      <c r="B21" t="s">
        <v>110</v>
      </c>
      <c r="C21">
        <v>2024</v>
      </c>
      <c r="D21">
        <v>38376183</v>
      </c>
    </row>
    <row r="22" spans="1:4" x14ac:dyDescent="0.35">
      <c r="A22" t="s">
        <v>13</v>
      </c>
      <c r="B22" t="s">
        <v>135</v>
      </c>
      <c r="C22">
        <v>2018</v>
      </c>
      <c r="D22">
        <v>876068724</v>
      </c>
    </row>
    <row r="23" spans="1:4" x14ac:dyDescent="0.35">
      <c r="A23" t="s">
        <v>13</v>
      </c>
      <c r="B23" t="s">
        <v>135</v>
      </c>
      <c r="C23">
        <v>2019</v>
      </c>
      <c r="D23">
        <v>810952186</v>
      </c>
    </row>
    <row r="24" spans="1:4" x14ac:dyDescent="0.35">
      <c r="A24" t="s">
        <v>13</v>
      </c>
      <c r="B24" t="s">
        <v>135</v>
      </c>
      <c r="C24">
        <v>2020</v>
      </c>
      <c r="D24">
        <v>678138819</v>
      </c>
    </row>
    <row r="25" spans="1:4" x14ac:dyDescent="0.35">
      <c r="A25" t="s">
        <v>13</v>
      </c>
      <c r="B25" t="s">
        <v>135</v>
      </c>
      <c r="C25">
        <v>2021</v>
      </c>
      <c r="D25">
        <v>570036546</v>
      </c>
    </row>
    <row r="26" spans="1:4" x14ac:dyDescent="0.35">
      <c r="A26" t="s">
        <v>13</v>
      </c>
      <c r="B26" t="s">
        <v>135</v>
      </c>
      <c r="C26">
        <v>2022</v>
      </c>
      <c r="D26">
        <v>652432258</v>
      </c>
    </row>
    <row r="27" spans="1:4" x14ac:dyDescent="0.35">
      <c r="A27" t="s">
        <v>13</v>
      </c>
      <c r="B27" t="s">
        <v>135</v>
      </c>
      <c r="C27">
        <v>2023</v>
      </c>
      <c r="D27">
        <v>641551609</v>
      </c>
    </row>
    <row r="28" spans="1:4" x14ac:dyDescent="0.35">
      <c r="A28" t="s">
        <v>13</v>
      </c>
      <c r="B28" t="s">
        <v>135</v>
      </c>
      <c r="C28">
        <v>2024</v>
      </c>
      <c r="D28">
        <v>550376183</v>
      </c>
    </row>
    <row r="29" spans="1:4" x14ac:dyDescent="0.35">
      <c r="A29" t="s">
        <v>112</v>
      </c>
      <c r="B29" t="s">
        <v>14</v>
      </c>
      <c r="C29">
        <v>2018</v>
      </c>
      <c r="D29">
        <v>-81397782</v>
      </c>
    </row>
    <row r="30" spans="1:4" x14ac:dyDescent="0.35">
      <c r="A30" t="s">
        <v>112</v>
      </c>
      <c r="B30" t="s">
        <v>14</v>
      </c>
      <c r="C30">
        <v>2019</v>
      </c>
      <c r="D30">
        <v>-72920289</v>
      </c>
    </row>
    <row r="31" spans="1:4" x14ac:dyDescent="0.35">
      <c r="A31" t="s">
        <v>112</v>
      </c>
      <c r="B31" t="s">
        <v>14</v>
      </c>
      <c r="C31">
        <v>2020</v>
      </c>
      <c r="D31">
        <v>-65848123</v>
      </c>
    </row>
    <row r="32" spans="1:4" x14ac:dyDescent="0.35">
      <c r="A32" t="s">
        <v>112</v>
      </c>
      <c r="B32" t="s">
        <v>14</v>
      </c>
      <c r="C32">
        <v>2021</v>
      </c>
      <c r="D32">
        <v>-59403011</v>
      </c>
    </row>
    <row r="33" spans="1:4" x14ac:dyDescent="0.35">
      <c r="A33" t="s">
        <v>112</v>
      </c>
      <c r="B33" t="s">
        <v>14</v>
      </c>
      <c r="C33">
        <v>2022</v>
      </c>
      <c r="D33">
        <v>-65600475</v>
      </c>
    </row>
    <row r="34" spans="1:4" x14ac:dyDescent="0.35">
      <c r="A34" t="s">
        <v>112</v>
      </c>
      <c r="B34" t="s">
        <v>14</v>
      </c>
      <c r="C34">
        <v>2023</v>
      </c>
      <c r="D34">
        <v>-64274799</v>
      </c>
    </row>
    <row r="35" spans="1:4" x14ac:dyDescent="0.35">
      <c r="A35" t="s">
        <v>112</v>
      </c>
      <c r="B35" t="s">
        <v>14</v>
      </c>
      <c r="C35">
        <v>2024</v>
      </c>
      <c r="D35" t="s">
        <v>105</v>
      </c>
    </row>
    <row r="36" spans="1:4" x14ac:dyDescent="0.35">
      <c r="A36" t="s">
        <v>42</v>
      </c>
      <c r="B36" t="s">
        <v>113</v>
      </c>
      <c r="C36">
        <v>2018</v>
      </c>
      <c r="D36">
        <v>3100000</v>
      </c>
    </row>
    <row r="37" spans="1:4" x14ac:dyDescent="0.35">
      <c r="A37" t="s">
        <v>42</v>
      </c>
      <c r="B37" t="s">
        <v>113</v>
      </c>
      <c r="C37">
        <v>2019</v>
      </c>
      <c r="D37">
        <v>2000000</v>
      </c>
    </row>
    <row r="38" spans="1:4" x14ac:dyDescent="0.35">
      <c r="A38" t="s">
        <v>42</v>
      </c>
      <c r="B38" t="s">
        <v>113</v>
      </c>
      <c r="C38">
        <v>2020</v>
      </c>
      <c r="D38">
        <v>9000000</v>
      </c>
    </row>
    <row r="39" spans="1:4" x14ac:dyDescent="0.35">
      <c r="A39" t="s">
        <v>42</v>
      </c>
      <c r="B39" t="s">
        <v>113</v>
      </c>
      <c r="C39">
        <v>2021</v>
      </c>
      <c r="D39">
        <v>2400000</v>
      </c>
    </row>
    <row r="40" spans="1:4" x14ac:dyDescent="0.35">
      <c r="A40" t="s">
        <v>42</v>
      </c>
      <c r="B40" t="s">
        <v>113</v>
      </c>
      <c r="C40">
        <v>2022</v>
      </c>
      <c r="D40">
        <v>3500000</v>
      </c>
    </row>
    <row r="41" spans="1:4" x14ac:dyDescent="0.35">
      <c r="A41" t="s">
        <v>42</v>
      </c>
      <c r="B41" t="s">
        <v>113</v>
      </c>
      <c r="C41">
        <v>2023</v>
      </c>
      <c r="D41">
        <v>8000000</v>
      </c>
    </row>
    <row r="42" spans="1:4" x14ac:dyDescent="0.35">
      <c r="A42" t="s">
        <v>42</v>
      </c>
      <c r="B42" t="s">
        <v>113</v>
      </c>
      <c r="C42">
        <v>2024</v>
      </c>
      <c r="D42">
        <v>900</v>
      </c>
    </row>
    <row r="43" spans="1:4" x14ac:dyDescent="0.35">
      <c r="A43" t="s">
        <v>42</v>
      </c>
      <c r="B43" t="s">
        <v>114</v>
      </c>
      <c r="C43">
        <v>2018</v>
      </c>
      <c r="D43">
        <v>2048757</v>
      </c>
    </row>
    <row r="44" spans="1:4" x14ac:dyDescent="0.35">
      <c r="A44" t="s">
        <v>42</v>
      </c>
      <c r="B44" t="s">
        <v>114</v>
      </c>
      <c r="C44">
        <v>2019</v>
      </c>
      <c r="D44">
        <v>1353264</v>
      </c>
    </row>
    <row r="45" spans="1:4" x14ac:dyDescent="0.35">
      <c r="A45" t="s">
        <v>42</v>
      </c>
      <c r="B45" t="s">
        <v>114</v>
      </c>
      <c r="C45">
        <v>2020</v>
      </c>
      <c r="D45">
        <v>5539269</v>
      </c>
    </row>
    <row r="46" spans="1:4" x14ac:dyDescent="0.35">
      <c r="A46" t="s">
        <v>42</v>
      </c>
      <c r="B46" t="s">
        <v>114</v>
      </c>
      <c r="C46">
        <v>2021</v>
      </c>
      <c r="D46">
        <v>2042888</v>
      </c>
    </row>
    <row r="47" spans="1:4" x14ac:dyDescent="0.35">
      <c r="A47" t="s">
        <v>42</v>
      </c>
      <c r="B47" t="s">
        <v>114</v>
      </c>
      <c r="C47">
        <v>2022</v>
      </c>
      <c r="D47">
        <v>3051142</v>
      </c>
    </row>
    <row r="48" spans="1:4" x14ac:dyDescent="0.35">
      <c r="A48" t="s">
        <v>42</v>
      </c>
      <c r="B48" t="s">
        <v>114</v>
      </c>
      <c r="C48">
        <v>2023</v>
      </c>
      <c r="D48">
        <v>9686997</v>
      </c>
    </row>
    <row r="49" spans="1:4" x14ac:dyDescent="0.35">
      <c r="A49" t="s">
        <v>42</v>
      </c>
      <c r="B49" t="s">
        <v>114</v>
      </c>
      <c r="C49">
        <v>2024</v>
      </c>
      <c r="D49">
        <v>472744</v>
      </c>
    </row>
    <row r="50" spans="1:4" x14ac:dyDescent="0.35">
      <c r="A50" t="s">
        <v>42</v>
      </c>
      <c r="B50" t="s">
        <v>128</v>
      </c>
      <c r="C50">
        <v>2018</v>
      </c>
      <c r="D50">
        <v>1800000</v>
      </c>
    </row>
    <row r="51" spans="1:4" x14ac:dyDescent="0.35">
      <c r="A51" t="s">
        <v>42</v>
      </c>
      <c r="B51" t="s">
        <v>128</v>
      </c>
      <c r="C51">
        <v>2019</v>
      </c>
      <c r="D51">
        <v>1000000</v>
      </c>
    </row>
    <row r="52" spans="1:4" x14ac:dyDescent="0.35">
      <c r="A52" t="s">
        <v>42</v>
      </c>
      <c r="B52" t="s">
        <v>128</v>
      </c>
      <c r="C52">
        <v>2020</v>
      </c>
      <c r="D52">
        <v>3000000</v>
      </c>
    </row>
    <row r="53" spans="1:4" x14ac:dyDescent="0.35">
      <c r="A53" t="s">
        <v>42</v>
      </c>
      <c r="B53" t="s">
        <v>128</v>
      </c>
      <c r="C53">
        <v>2021</v>
      </c>
      <c r="D53">
        <v>1400000</v>
      </c>
    </row>
    <row r="54" spans="1:4" x14ac:dyDescent="0.35">
      <c r="A54" t="s">
        <v>42</v>
      </c>
      <c r="B54" t="s">
        <v>128</v>
      </c>
      <c r="C54">
        <v>2022</v>
      </c>
      <c r="D54">
        <v>1300000</v>
      </c>
    </row>
    <row r="55" spans="1:4" x14ac:dyDescent="0.35">
      <c r="A55" t="s">
        <v>42</v>
      </c>
      <c r="B55" t="s">
        <v>128</v>
      </c>
      <c r="C55">
        <v>2023</v>
      </c>
      <c r="D55">
        <v>5000000</v>
      </c>
    </row>
    <row r="56" spans="1:4" x14ac:dyDescent="0.35">
      <c r="A56" t="s">
        <v>42</v>
      </c>
      <c r="B56" t="s">
        <v>128</v>
      </c>
      <c r="C56">
        <v>2024</v>
      </c>
      <c r="D56">
        <v>300</v>
      </c>
    </row>
    <row r="57" spans="1:4" x14ac:dyDescent="0.35">
      <c r="A57" t="s">
        <v>106</v>
      </c>
      <c r="B57" t="s">
        <v>106</v>
      </c>
      <c r="C57">
        <v>2018</v>
      </c>
      <c r="D57">
        <v>801619699</v>
      </c>
    </row>
    <row r="58" spans="1:4" x14ac:dyDescent="0.35">
      <c r="A58" t="s">
        <v>106</v>
      </c>
      <c r="B58" t="s">
        <v>106</v>
      </c>
      <c r="C58">
        <v>2019</v>
      </c>
      <c r="D58">
        <v>742385161</v>
      </c>
    </row>
    <row r="59" spans="1:4" x14ac:dyDescent="0.35">
      <c r="A59" t="s">
        <v>106</v>
      </c>
      <c r="B59" t="s">
        <v>106</v>
      </c>
      <c r="C59">
        <v>2020</v>
      </c>
      <c r="D59">
        <v>629829966</v>
      </c>
    </row>
    <row r="60" spans="1:4" x14ac:dyDescent="0.35">
      <c r="A60" t="s">
        <v>106</v>
      </c>
      <c r="B60" t="s">
        <v>106</v>
      </c>
      <c r="C60">
        <v>2021</v>
      </c>
      <c r="D60">
        <v>516476423</v>
      </c>
    </row>
    <row r="61" spans="1:4" x14ac:dyDescent="0.35">
      <c r="A61" t="s">
        <v>106</v>
      </c>
      <c r="B61" t="s">
        <v>106</v>
      </c>
      <c r="C61">
        <v>2022</v>
      </c>
      <c r="D61">
        <v>594682925</v>
      </c>
    </row>
    <row r="62" spans="1:4" x14ac:dyDescent="0.35">
      <c r="A62" t="s">
        <v>106</v>
      </c>
      <c r="B62" t="s">
        <v>106</v>
      </c>
      <c r="C62">
        <v>2023</v>
      </c>
      <c r="D62">
        <v>599963807</v>
      </c>
    </row>
    <row r="63" spans="1:4" x14ac:dyDescent="0.35">
      <c r="A63" t="s">
        <v>106</v>
      </c>
      <c r="B63" t="s">
        <v>106</v>
      </c>
      <c r="C63">
        <v>2024</v>
      </c>
      <c r="D63">
        <v>552048927</v>
      </c>
    </row>
    <row r="64" spans="1:4" x14ac:dyDescent="0.35">
      <c r="A64" t="s">
        <v>16</v>
      </c>
      <c r="B64" t="s">
        <v>115</v>
      </c>
      <c r="C64">
        <v>2018</v>
      </c>
      <c r="D64">
        <v>326000000</v>
      </c>
    </row>
    <row r="65" spans="1:4" x14ac:dyDescent="0.35">
      <c r="A65" t="s">
        <v>16</v>
      </c>
      <c r="B65" t="s">
        <v>115</v>
      </c>
      <c r="C65">
        <v>2019</v>
      </c>
      <c r="D65">
        <v>297000000</v>
      </c>
    </row>
    <row r="66" spans="1:4" x14ac:dyDescent="0.35">
      <c r="A66" t="s">
        <v>16</v>
      </c>
      <c r="B66" t="s">
        <v>115</v>
      </c>
      <c r="C66">
        <v>2020</v>
      </c>
      <c r="D66">
        <v>247000000</v>
      </c>
    </row>
    <row r="67" spans="1:4" x14ac:dyDescent="0.35">
      <c r="A67" t="s">
        <v>16</v>
      </c>
      <c r="B67" t="s">
        <v>115</v>
      </c>
      <c r="C67">
        <v>2021</v>
      </c>
      <c r="D67">
        <v>200000000</v>
      </c>
    </row>
    <row r="68" spans="1:4" x14ac:dyDescent="0.35">
      <c r="A68" t="s">
        <v>16</v>
      </c>
      <c r="B68" t="s">
        <v>115</v>
      </c>
      <c r="C68">
        <v>2022</v>
      </c>
      <c r="D68">
        <v>230000000</v>
      </c>
    </row>
    <row r="69" spans="1:4" x14ac:dyDescent="0.35">
      <c r="A69" t="s">
        <v>16</v>
      </c>
      <c r="B69" t="s">
        <v>115</v>
      </c>
      <c r="C69">
        <v>2023</v>
      </c>
      <c r="D69">
        <v>225000000</v>
      </c>
    </row>
    <row r="70" spans="1:4" x14ac:dyDescent="0.35">
      <c r="A70" t="s">
        <v>16</v>
      </c>
      <c r="B70" t="s">
        <v>115</v>
      </c>
      <c r="C70">
        <v>2024</v>
      </c>
      <c r="D70">
        <v>208000000</v>
      </c>
    </row>
    <row r="71" spans="1:4" x14ac:dyDescent="0.35">
      <c r="A71" t="s">
        <v>16</v>
      </c>
      <c r="B71" t="s">
        <v>116</v>
      </c>
      <c r="C71">
        <v>2018</v>
      </c>
      <c r="D71">
        <v>55000000</v>
      </c>
    </row>
    <row r="72" spans="1:4" x14ac:dyDescent="0.35">
      <c r="A72" t="s">
        <v>16</v>
      </c>
      <c r="B72" t="s">
        <v>116</v>
      </c>
      <c r="C72">
        <v>2019</v>
      </c>
      <c r="D72">
        <v>50000000</v>
      </c>
    </row>
    <row r="73" spans="1:4" x14ac:dyDescent="0.35">
      <c r="A73" t="s">
        <v>16</v>
      </c>
      <c r="B73" t="s">
        <v>116</v>
      </c>
      <c r="C73">
        <v>2020</v>
      </c>
      <c r="D73">
        <v>42000000</v>
      </c>
    </row>
    <row r="74" spans="1:4" x14ac:dyDescent="0.35">
      <c r="A74" t="s">
        <v>16</v>
      </c>
      <c r="B74" t="s">
        <v>116</v>
      </c>
      <c r="C74">
        <v>2021</v>
      </c>
      <c r="D74">
        <v>33000000</v>
      </c>
    </row>
    <row r="75" spans="1:4" x14ac:dyDescent="0.35">
      <c r="A75" t="s">
        <v>16</v>
      </c>
      <c r="B75" t="s">
        <v>116</v>
      </c>
      <c r="C75">
        <v>2022</v>
      </c>
      <c r="D75">
        <v>37000000</v>
      </c>
    </row>
    <row r="76" spans="1:4" x14ac:dyDescent="0.35">
      <c r="A76" t="s">
        <v>16</v>
      </c>
      <c r="B76" t="s">
        <v>116</v>
      </c>
      <c r="C76">
        <v>2023</v>
      </c>
      <c r="D76">
        <v>35000000</v>
      </c>
    </row>
    <row r="77" spans="1:4" x14ac:dyDescent="0.35">
      <c r="A77" t="s">
        <v>16</v>
      </c>
      <c r="B77" t="s">
        <v>116</v>
      </c>
      <c r="C77">
        <v>2024</v>
      </c>
      <c r="D77">
        <v>32000000</v>
      </c>
    </row>
    <row r="78" spans="1:4" x14ac:dyDescent="0.35">
      <c r="A78" t="s">
        <v>16</v>
      </c>
      <c r="B78" t="s">
        <v>117</v>
      </c>
      <c r="C78">
        <v>2018</v>
      </c>
      <c r="D78">
        <v>68000000</v>
      </c>
    </row>
    <row r="79" spans="1:4" x14ac:dyDescent="0.35">
      <c r="A79" t="s">
        <v>16</v>
      </c>
      <c r="B79" t="s">
        <v>117</v>
      </c>
      <c r="C79">
        <v>2019</v>
      </c>
      <c r="D79">
        <v>62000000</v>
      </c>
    </row>
    <row r="80" spans="1:4" x14ac:dyDescent="0.35">
      <c r="A80" t="s">
        <v>16</v>
      </c>
      <c r="B80" t="s">
        <v>117</v>
      </c>
      <c r="C80">
        <v>2020</v>
      </c>
      <c r="D80">
        <v>54000000</v>
      </c>
    </row>
    <row r="81" spans="1:4" x14ac:dyDescent="0.35">
      <c r="A81" t="s">
        <v>16</v>
      </c>
      <c r="B81" t="s">
        <v>117</v>
      </c>
      <c r="C81">
        <v>2021</v>
      </c>
      <c r="D81">
        <v>44000000</v>
      </c>
    </row>
    <row r="82" spans="1:4" x14ac:dyDescent="0.35">
      <c r="A82" t="s">
        <v>16</v>
      </c>
      <c r="B82" t="s">
        <v>117</v>
      </c>
      <c r="C82">
        <v>2022</v>
      </c>
      <c r="D82">
        <v>47000000</v>
      </c>
    </row>
    <row r="83" spans="1:4" x14ac:dyDescent="0.35">
      <c r="A83" t="s">
        <v>16</v>
      </c>
      <c r="B83" t="s">
        <v>117</v>
      </c>
      <c r="C83">
        <v>2023</v>
      </c>
      <c r="D83">
        <v>45000000</v>
      </c>
    </row>
    <row r="84" spans="1:4" x14ac:dyDescent="0.35">
      <c r="A84" t="s">
        <v>16</v>
      </c>
      <c r="B84" t="s">
        <v>117</v>
      </c>
      <c r="C84">
        <v>2024</v>
      </c>
      <c r="D84">
        <v>41000000</v>
      </c>
    </row>
    <row r="85" spans="1:4" x14ac:dyDescent="0.35">
      <c r="A85" t="s">
        <v>16</v>
      </c>
      <c r="B85" t="s">
        <v>118</v>
      </c>
      <c r="C85">
        <v>2018</v>
      </c>
      <c r="D85">
        <v>9000000</v>
      </c>
    </row>
    <row r="86" spans="1:4" x14ac:dyDescent="0.35">
      <c r="A86" t="s">
        <v>16</v>
      </c>
      <c r="B86" t="s">
        <v>118</v>
      </c>
      <c r="C86">
        <v>2019</v>
      </c>
      <c r="D86">
        <v>8000000</v>
      </c>
    </row>
    <row r="87" spans="1:4" x14ac:dyDescent="0.35">
      <c r="A87" t="s">
        <v>16</v>
      </c>
      <c r="B87" t="s">
        <v>118</v>
      </c>
      <c r="C87">
        <v>2020</v>
      </c>
      <c r="D87">
        <v>7000000</v>
      </c>
    </row>
    <row r="88" spans="1:4" x14ac:dyDescent="0.35">
      <c r="A88" t="s">
        <v>16</v>
      </c>
      <c r="B88" t="s">
        <v>118</v>
      </c>
      <c r="C88">
        <v>2021</v>
      </c>
      <c r="D88">
        <v>6000000</v>
      </c>
    </row>
    <row r="89" spans="1:4" x14ac:dyDescent="0.35">
      <c r="A89" t="s">
        <v>16</v>
      </c>
      <c r="B89" t="s">
        <v>118</v>
      </c>
      <c r="C89">
        <v>2022</v>
      </c>
      <c r="D89">
        <v>6500000</v>
      </c>
    </row>
    <row r="90" spans="1:4" x14ac:dyDescent="0.35">
      <c r="A90" t="s">
        <v>16</v>
      </c>
      <c r="B90" t="s">
        <v>118</v>
      </c>
      <c r="C90">
        <v>2023</v>
      </c>
      <c r="D90">
        <v>6000000</v>
      </c>
    </row>
    <row r="91" spans="1:4" x14ac:dyDescent="0.35">
      <c r="A91" t="s">
        <v>16</v>
      </c>
      <c r="B91" t="s">
        <v>118</v>
      </c>
      <c r="C91">
        <v>2024</v>
      </c>
      <c r="D91">
        <v>5500000</v>
      </c>
    </row>
    <row r="92" spans="1:4" x14ac:dyDescent="0.35">
      <c r="A92" t="s">
        <v>16</v>
      </c>
      <c r="B92" t="s">
        <v>129</v>
      </c>
      <c r="C92">
        <v>2018</v>
      </c>
      <c r="D92">
        <v>5966056</v>
      </c>
    </row>
    <row r="93" spans="1:4" x14ac:dyDescent="0.35">
      <c r="A93" t="s">
        <v>16</v>
      </c>
      <c r="B93" t="s">
        <v>129</v>
      </c>
      <c r="C93">
        <v>2019</v>
      </c>
      <c r="D93">
        <v>5568343</v>
      </c>
    </row>
    <row r="94" spans="1:4" x14ac:dyDescent="0.35">
      <c r="A94" t="s">
        <v>16</v>
      </c>
      <c r="B94" t="s">
        <v>129</v>
      </c>
      <c r="C94">
        <v>2020</v>
      </c>
      <c r="D94">
        <v>5270826</v>
      </c>
    </row>
    <row r="95" spans="1:4" x14ac:dyDescent="0.35">
      <c r="A95" t="s">
        <v>16</v>
      </c>
      <c r="B95" t="s">
        <v>129</v>
      </c>
      <c r="C95">
        <v>2021</v>
      </c>
      <c r="D95">
        <v>4600044</v>
      </c>
    </row>
    <row r="96" spans="1:4" x14ac:dyDescent="0.35">
      <c r="A96" t="s">
        <v>16</v>
      </c>
      <c r="B96" t="s">
        <v>129</v>
      </c>
      <c r="C96">
        <v>2022</v>
      </c>
      <c r="D96">
        <v>5166935</v>
      </c>
    </row>
    <row r="97" spans="1:4" x14ac:dyDescent="0.35">
      <c r="A97" t="s">
        <v>16</v>
      </c>
      <c r="B97" t="s">
        <v>129</v>
      </c>
      <c r="C97">
        <v>2023</v>
      </c>
      <c r="D97">
        <v>4738941</v>
      </c>
    </row>
    <row r="98" spans="1:4" x14ac:dyDescent="0.35">
      <c r="A98" t="s">
        <v>16</v>
      </c>
      <c r="B98" t="s">
        <v>129</v>
      </c>
      <c r="C98">
        <v>2024</v>
      </c>
      <c r="D98">
        <v>3819255</v>
      </c>
    </row>
    <row r="99" spans="1:4" x14ac:dyDescent="0.35">
      <c r="A99" t="s">
        <v>17</v>
      </c>
      <c r="B99" t="s">
        <v>17</v>
      </c>
      <c r="C99">
        <v>2018</v>
      </c>
      <c r="D99">
        <v>327653642</v>
      </c>
    </row>
    <row r="100" spans="1:4" x14ac:dyDescent="0.35">
      <c r="A100" t="s">
        <v>17</v>
      </c>
      <c r="B100" t="s">
        <v>17</v>
      </c>
      <c r="C100">
        <v>2019</v>
      </c>
      <c r="D100">
        <v>311816818</v>
      </c>
    </row>
    <row r="101" spans="1:4" x14ac:dyDescent="0.35">
      <c r="A101" t="s">
        <v>17</v>
      </c>
      <c r="B101" t="s">
        <v>17</v>
      </c>
      <c r="C101">
        <v>2020</v>
      </c>
      <c r="D101">
        <v>268559140</v>
      </c>
    </row>
    <row r="102" spans="1:4" x14ac:dyDescent="0.35">
      <c r="A102" t="s">
        <v>17</v>
      </c>
      <c r="B102" t="s">
        <v>17</v>
      </c>
      <c r="C102">
        <v>2021</v>
      </c>
      <c r="D102">
        <v>221876379</v>
      </c>
    </row>
    <row r="103" spans="1:4" x14ac:dyDescent="0.35">
      <c r="A103" t="s">
        <v>17</v>
      </c>
      <c r="B103" t="s">
        <v>17</v>
      </c>
      <c r="C103">
        <v>2022</v>
      </c>
      <c r="D103">
        <v>262015990</v>
      </c>
    </row>
    <row r="104" spans="1:4" x14ac:dyDescent="0.35">
      <c r="A104" t="s">
        <v>17</v>
      </c>
      <c r="B104" t="s">
        <v>17</v>
      </c>
      <c r="C104">
        <v>2023</v>
      </c>
      <c r="D104">
        <v>276224866</v>
      </c>
    </row>
    <row r="105" spans="1:4" x14ac:dyDescent="0.35">
      <c r="A105" t="s">
        <v>17</v>
      </c>
      <c r="B105" t="s">
        <v>17</v>
      </c>
      <c r="C105">
        <v>2024</v>
      </c>
      <c r="D105">
        <v>253729672</v>
      </c>
    </row>
    <row r="106" spans="1:4" x14ac:dyDescent="0.35">
      <c r="A106" t="s">
        <v>18</v>
      </c>
      <c r="B106" t="s">
        <v>119</v>
      </c>
      <c r="C106">
        <v>2018</v>
      </c>
      <c r="D106">
        <v>86000000</v>
      </c>
    </row>
    <row r="107" spans="1:4" x14ac:dyDescent="0.35">
      <c r="A107" t="s">
        <v>18</v>
      </c>
      <c r="B107" t="s">
        <v>119</v>
      </c>
      <c r="C107">
        <v>2019</v>
      </c>
      <c r="D107">
        <v>80000000</v>
      </c>
    </row>
    <row r="108" spans="1:4" x14ac:dyDescent="0.35">
      <c r="A108" t="s">
        <v>18</v>
      </c>
      <c r="B108" t="s">
        <v>119</v>
      </c>
      <c r="C108">
        <v>2020</v>
      </c>
      <c r="D108">
        <v>68000000</v>
      </c>
    </row>
    <row r="109" spans="1:4" x14ac:dyDescent="0.35">
      <c r="A109" t="s">
        <v>18</v>
      </c>
      <c r="B109" t="s">
        <v>119</v>
      </c>
      <c r="C109">
        <v>2021</v>
      </c>
      <c r="D109">
        <v>53000000</v>
      </c>
    </row>
    <row r="110" spans="1:4" x14ac:dyDescent="0.35">
      <c r="A110" t="s">
        <v>18</v>
      </c>
      <c r="B110" t="s">
        <v>119</v>
      </c>
      <c r="C110">
        <v>2022</v>
      </c>
      <c r="D110">
        <v>59000000</v>
      </c>
    </row>
    <row r="111" spans="1:4" x14ac:dyDescent="0.35">
      <c r="A111" t="s">
        <v>18</v>
      </c>
      <c r="B111" t="s">
        <v>119</v>
      </c>
      <c r="C111">
        <v>2023</v>
      </c>
      <c r="D111">
        <v>61000000</v>
      </c>
    </row>
    <row r="112" spans="1:4" x14ac:dyDescent="0.35">
      <c r="A112" t="s">
        <v>18</v>
      </c>
      <c r="B112" t="s">
        <v>119</v>
      </c>
      <c r="C112">
        <v>2024</v>
      </c>
      <c r="D112">
        <v>57000000</v>
      </c>
    </row>
    <row r="113" spans="1:4" x14ac:dyDescent="0.35">
      <c r="A113" t="s">
        <v>18</v>
      </c>
      <c r="B113" t="s">
        <v>120</v>
      </c>
      <c r="C113">
        <v>2018</v>
      </c>
      <c r="D113">
        <v>92000000</v>
      </c>
    </row>
    <row r="114" spans="1:4" x14ac:dyDescent="0.35">
      <c r="A114" t="s">
        <v>18</v>
      </c>
      <c r="B114" t="s">
        <v>120</v>
      </c>
      <c r="C114">
        <v>2019</v>
      </c>
      <c r="D114">
        <v>84000000</v>
      </c>
    </row>
    <row r="115" spans="1:4" x14ac:dyDescent="0.35">
      <c r="A115" t="s">
        <v>18</v>
      </c>
      <c r="B115" t="s">
        <v>120</v>
      </c>
      <c r="C115">
        <v>2020</v>
      </c>
      <c r="D115">
        <v>72000000</v>
      </c>
    </row>
    <row r="116" spans="1:4" x14ac:dyDescent="0.35">
      <c r="A116" t="s">
        <v>18</v>
      </c>
      <c r="B116" t="s">
        <v>120</v>
      </c>
      <c r="C116">
        <v>2021</v>
      </c>
      <c r="D116">
        <v>56000000</v>
      </c>
    </row>
    <row r="117" spans="1:4" x14ac:dyDescent="0.35">
      <c r="A117" t="s">
        <v>18</v>
      </c>
      <c r="B117" t="s">
        <v>120</v>
      </c>
      <c r="C117">
        <v>2022</v>
      </c>
      <c r="D117">
        <v>69000000</v>
      </c>
    </row>
    <row r="118" spans="1:4" x14ac:dyDescent="0.35">
      <c r="A118" t="s">
        <v>18</v>
      </c>
      <c r="B118" t="s">
        <v>120</v>
      </c>
      <c r="C118">
        <v>2023</v>
      </c>
      <c r="D118">
        <v>75000000</v>
      </c>
    </row>
    <row r="119" spans="1:4" x14ac:dyDescent="0.35">
      <c r="A119" t="s">
        <v>18</v>
      </c>
      <c r="B119" t="s">
        <v>120</v>
      </c>
      <c r="C119">
        <v>2024</v>
      </c>
      <c r="D119">
        <v>69000000</v>
      </c>
    </row>
    <row r="120" spans="1:4" x14ac:dyDescent="0.35">
      <c r="A120" t="s">
        <v>18</v>
      </c>
      <c r="B120" t="s">
        <v>121</v>
      </c>
      <c r="C120">
        <v>2018</v>
      </c>
      <c r="D120">
        <v>22000000</v>
      </c>
    </row>
    <row r="121" spans="1:4" x14ac:dyDescent="0.35">
      <c r="A121" t="s">
        <v>18</v>
      </c>
      <c r="B121" t="s">
        <v>121</v>
      </c>
      <c r="C121">
        <v>2019</v>
      </c>
      <c r="D121">
        <v>20000000</v>
      </c>
    </row>
    <row r="122" spans="1:4" x14ac:dyDescent="0.35">
      <c r="A122" t="s">
        <v>18</v>
      </c>
      <c r="B122" t="s">
        <v>121</v>
      </c>
      <c r="C122">
        <v>2020</v>
      </c>
      <c r="D122">
        <v>17000000</v>
      </c>
    </row>
    <row r="123" spans="1:4" x14ac:dyDescent="0.35">
      <c r="A123" t="s">
        <v>18</v>
      </c>
      <c r="B123" t="s">
        <v>121</v>
      </c>
      <c r="C123">
        <v>2021</v>
      </c>
      <c r="D123">
        <v>14000000</v>
      </c>
    </row>
    <row r="124" spans="1:4" x14ac:dyDescent="0.35">
      <c r="A124" t="s">
        <v>18</v>
      </c>
      <c r="B124" t="s">
        <v>121</v>
      </c>
      <c r="C124">
        <v>2022</v>
      </c>
      <c r="D124">
        <v>15000000</v>
      </c>
    </row>
    <row r="125" spans="1:4" x14ac:dyDescent="0.35">
      <c r="A125" t="s">
        <v>18</v>
      </c>
      <c r="B125" t="s">
        <v>121</v>
      </c>
      <c r="C125">
        <v>2023</v>
      </c>
      <c r="D125">
        <v>16000000</v>
      </c>
    </row>
    <row r="126" spans="1:4" x14ac:dyDescent="0.35">
      <c r="A126" t="s">
        <v>18</v>
      </c>
      <c r="B126" t="s">
        <v>121</v>
      </c>
      <c r="C126">
        <v>2024</v>
      </c>
      <c r="D126">
        <v>14000000</v>
      </c>
    </row>
    <row r="127" spans="1:4" x14ac:dyDescent="0.35">
      <c r="A127" t="s">
        <v>18</v>
      </c>
      <c r="B127" t="s">
        <v>122</v>
      </c>
      <c r="C127">
        <v>2018</v>
      </c>
      <c r="D127">
        <v>8000000</v>
      </c>
    </row>
    <row r="128" spans="1:4" x14ac:dyDescent="0.35">
      <c r="A128" t="s">
        <v>18</v>
      </c>
      <c r="B128" t="s">
        <v>122</v>
      </c>
      <c r="C128">
        <v>2019</v>
      </c>
      <c r="D128">
        <v>7500000</v>
      </c>
    </row>
    <row r="129" spans="1:4" x14ac:dyDescent="0.35">
      <c r="A129" t="s">
        <v>18</v>
      </c>
      <c r="B129" t="s">
        <v>122</v>
      </c>
      <c r="C129">
        <v>2020</v>
      </c>
      <c r="D129">
        <v>7000000</v>
      </c>
    </row>
    <row r="130" spans="1:4" x14ac:dyDescent="0.35">
      <c r="A130" t="s">
        <v>18</v>
      </c>
      <c r="B130" t="s">
        <v>122</v>
      </c>
      <c r="C130">
        <v>2021</v>
      </c>
      <c r="D130">
        <v>6000000</v>
      </c>
    </row>
    <row r="131" spans="1:4" x14ac:dyDescent="0.35">
      <c r="A131" t="s">
        <v>18</v>
      </c>
      <c r="B131" t="s">
        <v>122</v>
      </c>
      <c r="C131">
        <v>2022</v>
      </c>
      <c r="D131">
        <v>7000000</v>
      </c>
    </row>
    <row r="132" spans="1:4" x14ac:dyDescent="0.35">
      <c r="A132" t="s">
        <v>18</v>
      </c>
      <c r="B132" t="s">
        <v>122</v>
      </c>
      <c r="C132">
        <v>2023</v>
      </c>
      <c r="D132">
        <v>8000000</v>
      </c>
    </row>
    <row r="133" spans="1:4" x14ac:dyDescent="0.35">
      <c r="A133" t="s">
        <v>18</v>
      </c>
      <c r="B133" t="s">
        <v>122</v>
      </c>
      <c r="C133">
        <v>2024</v>
      </c>
      <c r="D133">
        <v>7000000</v>
      </c>
    </row>
    <row r="134" spans="1:4" x14ac:dyDescent="0.35">
      <c r="A134" t="s">
        <v>18</v>
      </c>
      <c r="B134" t="s">
        <v>130</v>
      </c>
      <c r="C134">
        <v>2018</v>
      </c>
      <c r="D134">
        <v>35339950</v>
      </c>
    </row>
    <row r="135" spans="1:4" x14ac:dyDescent="0.35">
      <c r="A135" t="s">
        <v>18</v>
      </c>
      <c r="B135" t="s">
        <v>130</v>
      </c>
      <c r="C135">
        <v>2019</v>
      </c>
      <c r="D135">
        <v>35244965</v>
      </c>
    </row>
    <row r="136" spans="1:4" x14ac:dyDescent="0.35">
      <c r="A136" t="s">
        <v>18</v>
      </c>
      <c r="B136" t="s">
        <v>130</v>
      </c>
      <c r="C136">
        <v>2020</v>
      </c>
      <c r="D136">
        <v>29533434</v>
      </c>
    </row>
    <row r="137" spans="1:4" x14ac:dyDescent="0.35">
      <c r="A137" t="s">
        <v>18</v>
      </c>
      <c r="B137" t="s">
        <v>130</v>
      </c>
      <c r="C137">
        <v>2021</v>
      </c>
      <c r="D137">
        <v>19586905</v>
      </c>
    </row>
    <row r="138" spans="1:4" x14ac:dyDescent="0.35">
      <c r="A138" t="s">
        <v>18</v>
      </c>
      <c r="B138" t="s">
        <v>130</v>
      </c>
      <c r="C138">
        <v>2022</v>
      </c>
      <c r="D138">
        <v>23658901</v>
      </c>
    </row>
    <row r="139" spans="1:4" x14ac:dyDescent="0.35">
      <c r="A139" t="s">
        <v>18</v>
      </c>
      <c r="B139" t="s">
        <v>130</v>
      </c>
      <c r="C139">
        <v>2023</v>
      </c>
      <c r="D139">
        <v>26356903</v>
      </c>
    </row>
    <row r="140" spans="1:4" x14ac:dyDescent="0.35">
      <c r="A140" t="s">
        <v>18</v>
      </c>
      <c r="B140" t="s">
        <v>130</v>
      </c>
      <c r="C140">
        <v>2024</v>
      </c>
      <c r="D140">
        <v>25322486</v>
      </c>
    </row>
    <row r="141" spans="1:4" x14ac:dyDescent="0.35">
      <c r="A141" t="s">
        <v>19</v>
      </c>
      <c r="B141" t="s">
        <v>19</v>
      </c>
      <c r="C141">
        <v>2018</v>
      </c>
      <c r="D141">
        <v>84313692</v>
      </c>
    </row>
    <row r="142" spans="1:4" x14ac:dyDescent="0.35">
      <c r="A142" t="s">
        <v>19</v>
      </c>
      <c r="B142" t="s">
        <v>19</v>
      </c>
      <c r="C142">
        <v>2019</v>
      </c>
      <c r="D142">
        <v>85071854</v>
      </c>
    </row>
    <row r="143" spans="1:4" x14ac:dyDescent="0.35">
      <c r="A143" t="s">
        <v>19</v>
      </c>
      <c r="B143" t="s">
        <v>19</v>
      </c>
      <c r="C143">
        <v>2020</v>
      </c>
      <c r="D143">
        <v>75025706</v>
      </c>
    </row>
    <row r="144" spans="1:4" x14ac:dyDescent="0.35">
      <c r="A144" t="s">
        <v>19</v>
      </c>
      <c r="B144" t="s">
        <v>19</v>
      </c>
      <c r="C144">
        <v>2021</v>
      </c>
      <c r="D144">
        <v>73289474</v>
      </c>
    </row>
    <row r="145" spans="1:4" x14ac:dyDescent="0.35">
      <c r="A145" t="s">
        <v>19</v>
      </c>
      <c r="B145" t="s">
        <v>19</v>
      </c>
      <c r="C145">
        <v>2022</v>
      </c>
      <c r="D145">
        <v>88357089</v>
      </c>
    </row>
    <row r="146" spans="1:4" x14ac:dyDescent="0.35">
      <c r="A146" t="s">
        <v>19</v>
      </c>
      <c r="B146" t="s">
        <v>19</v>
      </c>
      <c r="C146">
        <v>2023</v>
      </c>
      <c r="D146">
        <v>89867962</v>
      </c>
    </row>
    <row r="147" spans="1:4" x14ac:dyDescent="0.35">
      <c r="A147" t="s">
        <v>19</v>
      </c>
      <c r="B147" t="s">
        <v>19</v>
      </c>
      <c r="C147">
        <v>2024</v>
      </c>
      <c r="D147">
        <v>81407185</v>
      </c>
    </row>
    <row r="148" spans="1:4" x14ac:dyDescent="0.35">
      <c r="A148" t="s">
        <v>20</v>
      </c>
      <c r="B148" t="s">
        <v>20</v>
      </c>
      <c r="C148">
        <v>2018</v>
      </c>
      <c r="D148">
        <v>30532793</v>
      </c>
    </row>
    <row r="149" spans="1:4" x14ac:dyDescent="0.35">
      <c r="A149" t="s">
        <v>20</v>
      </c>
      <c r="B149" t="s">
        <v>20</v>
      </c>
      <c r="C149">
        <v>2019</v>
      </c>
      <c r="D149">
        <v>29117774</v>
      </c>
    </row>
    <row r="150" spans="1:4" x14ac:dyDescent="0.35">
      <c r="A150" t="s">
        <v>20</v>
      </c>
      <c r="B150" t="s">
        <v>20</v>
      </c>
      <c r="C150">
        <v>2020</v>
      </c>
      <c r="D150">
        <v>25700743</v>
      </c>
    </row>
    <row r="151" spans="1:4" x14ac:dyDescent="0.35">
      <c r="A151" t="s">
        <v>20</v>
      </c>
      <c r="B151" t="s">
        <v>20</v>
      </c>
      <c r="C151">
        <v>2021</v>
      </c>
      <c r="D151">
        <v>18404366</v>
      </c>
    </row>
    <row r="152" spans="1:4" x14ac:dyDescent="0.35">
      <c r="A152" t="s">
        <v>20</v>
      </c>
      <c r="B152" t="s">
        <v>20</v>
      </c>
      <c r="C152">
        <v>2022</v>
      </c>
      <c r="D152">
        <v>18151704</v>
      </c>
    </row>
    <row r="153" spans="1:4" x14ac:dyDescent="0.35">
      <c r="A153" t="s">
        <v>20</v>
      </c>
      <c r="B153" t="s">
        <v>20</v>
      </c>
      <c r="C153">
        <v>2023</v>
      </c>
      <c r="D153">
        <v>18935992</v>
      </c>
    </row>
    <row r="154" spans="1:4" x14ac:dyDescent="0.35">
      <c r="A154" t="s">
        <v>20</v>
      </c>
      <c r="B154" t="s">
        <v>20</v>
      </c>
      <c r="C154">
        <v>2024</v>
      </c>
      <c r="D154">
        <v>19000539</v>
      </c>
    </row>
    <row r="155" spans="1:4" x14ac:dyDescent="0.35">
      <c r="A155" t="s">
        <v>21</v>
      </c>
      <c r="B155" t="s">
        <v>21</v>
      </c>
      <c r="C155">
        <v>2018</v>
      </c>
      <c r="D155">
        <v>53780900</v>
      </c>
    </row>
    <row r="156" spans="1:4" x14ac:dyDescent="0.35">
      <c r="A156" t="s">
        <v>21</v>
      </c>
      <c r="B156" t="s">
        <v>21</v>
      </c>
      <c r="C156">
        <v>2019</v>
      </c>
      <c r="D156">
        <v>55954080</v>
      </c>
    </row>
    <row r="157" spans="1:4" x14ac:dyDescent="0.35">
      <c r="A157" t="s">
        <v>21</v>
      </c>
      <c r="B157" t="s">
        <v>21</v>
      </c>
      <c r="C157">
        <v>2020</v>
      </c>
      <c r="D157">
        <v>49324963</v>
      </c>
    </row>
    <row r="158" spans="1:4" x14ac:dyDescent="0.35">
      <c r="A158" t="s">
        <v>21</v>
      </c>
      <c r="B158" t="s">
        <v>21</v>
      </c>
      <c r="C158">
        <v>2021</v>
      </c>
      <c r="D158">
        <v>54885108</v>
      </c>
    </row>
    <row r="159" spans="1:4" x14ac:dyDescent="0.35">
      <c r="A159" t="s">
        <v>21</v>
      </c>
      <c r="B159" t="s">
        <v>21</v>
      </c>
      <c r="C159">
        <v>2022</v>
      </c>
      <c r="D159">
        <v>70205385</v>
      </c>
    </row>
    <row r="160" spans="1:4" x14ac:dyDescent="0.35">
      <c r="A160" t="s">
        <v>21</v>
      </c>
      <c r="B160" t="s">
        <v>21</v>
      </c>
      <c r="C160">
        <v>2023</v>
      </c>
      <c r="D160">
        <v>70931971</v>
      </c>
    </row>
    <row r="161" spans="1:4" x14ac:dyDescent="0.35">
      <c r="A161" t="s">
        <v>21</v>
      </c>
      <c r="B161" t="s">
        <v>21</v>
      </c>
      <c r="C161">
        <v>2024</v>
      </c>
      <c r="D161">
        <v>62406647</v>
      </c>
    </row>
    <row r="162" spans="1:4" x14ac:dyDescent="0.35">
      <c r="A162" t="s">
        <v>22</v>
      </c>
      <c r="B162" t="s">
        <v>123</v>
      </c>
      <c r="C162">
        <v>2018</v>
      </c>
      <c r="D162">
        <v>12000000</v>
      </c>
    </row>
    <row r="163" spans="1:4" x14ac:dyDescent="0.35">
      <c r="A163" t="s">
        <v>22</v>
      </c>
      <c r="B163" t="s">
        <v>123</v>
      </c>
      <c r="C163">
        <v>2019</v>
      </c>
      <c r="D163">
        <v>10500000</v>
      </c>
    </row>
    <row r="164" spans="1:4" x14ac:dyDescent="0.35">
      <c r="A164" t="s">
        <v>22</v>
      </c>
      <c r="B164" t="s">
        <v>123</v>
      </c>
      <c r="C164">
        <v>2020</v>
      </c>
      <c r="D164">
        <v>9000000</v>
      </c>
    </row>
    <row r="165" spans="1:4" x14ac:dyDescent="0.35">
      <c r="A165" t="s">
        <v>22</v>
      </c>
      <c r="B165" t="s">
        <v>123</v>
      </c>
      <c r="C165">
        <v>2021</v>
      </c>
      <c r="D165">
        <v>7500000</v>
      </c>
    </row>
    <row r="166" spans="1:4" x14ac:dyDescent="0.35">
      <c r="A166" t="s">
        <v>22</v>
      </c>
      <c r="B166" t="s">
        <v>123</v>
      </c>
      <c r="C166">
        <v>2022</v>
      </c>
      <c r="D166">
        <v>10500000</v>
      </c>
    </row>
    <row r="167" spans="1:4" x14ac:dyDescent="0.35">
      <c r="A167" t="s">
        <v>22</v>
      </c>
      <c r="B167" t="s">
        <v>123</v>
      </c>
      <c r="C167">
        <v>2023</v>
      </c>
      <c r="D167">
        <v>9500000</v>
      </c>
    </row>
    <row r="168" spans="1:4" x14ac:dyDescent="0.35">
      <c r="A168" t="s">
        <v>22</v>
      </c>
      <c r="B168" t="s">
        <v>123</v>
      </c>
      <c r="C168">
        <v>2024</v>
      </c>
      <c r="D168">
        <v>8000000</v>
      </c>
    </row>
    <row r="169" spans="1:4" x14ac:dyDescent="0.35">
      <c r="A169" t="s">
        <v>22</v>
      </c>
      <c r="B169" t="s">
        <v>124</v>
      </c>
      <c r="C169">
        <v>2018</v>
      </c>
      <c r="D169">
        <v>6000000</v>
      </c>
    </row>
    <row r="170" spans="1:4" x14ac:dyDescent="0.35">
      <c r="A170" t="s">
        <v>22</v>
      </c>
      <c r="B170" t="s">
        <v>124</v>
      </c>
      <c r="C170">
        <v>2019</v>
      </c>
      <c r="D170">
        <v>6000000</v>
      </c>
    </row>
    <row r="171" spans="1:4" x14ac:dyDescent="0.35">
      <c r="A171" t="s">
        <v>22</v>
      </c>
      <c r="B171" t="s">
        <v>124</v>
      </c>
      <c r="C171">
        <v>2020</v>
      </c>
      <c r="D171">
        <v>5000000</v>
      </c>
    </row>
    <row r="172" spans="1:4" x14ac:dyDescent="0.35">
      <c r="A172" t="s">
        <v>22</v>
      </c>
      <c r="B172" t="s">
        <v>124</v>
      </c>
      <c r="C172">
        <v>2021</v>
      </c>
      <c r="D172">
        <v>4500000</v>
      </c>
    </row>
    <row r="173" spans="1:4" x14ac:dyDescent="0.35">
      <c r="A173" t="s">
        <v>22</v>
      </c>
      <c r="B173" t="s">
        <v>124</v>
      </c>
      <c r="C173">
        <v>2022</v>
      </c>
      <c r="D173">
        <v>6000000</v>
      </c>
    </row>
    <row r="174" spans="1:4" x14ac:dyDescent="0.35">
      <c r="A174" t="s">
        <v>22</v>
      </c>
      <c r="B174" t="s">
        <v>124</v>
      </c>
      <c r="C174">
        <v>2023</v>
      </c>
      <c r="D174">
        <v>6000000</v>
      </c>
    </row>
    <row r="175" spans="1:4" x14ac:dyDescent="0.35">
      <c r="A175" t="s">
        <v>22</v>
      </c>
      <c r="B175" t="s">
        <v>124</v>
      </c>
      <c r="C175">
        <v>2024</v>
      </c>
      <c r="D175">
        <v>4500000</v>
      </c>
    </row>
    <row r="176" spans="1:4" x14ac:dyDescent="0.35">
      <c r="A176" t="s">
        <v>22</v>
      </c>
      <c r="B176" t="s">
        <v>131</v>
      </c>
      <c r="C176">
        <v>2018</v>
      </c>
      <c r="D176">
        <v>1480497</v>
      </c>
    </row>
    <row r="177" spans="1:4" x14ac:dyDescent="0.35">
      <c r="A177" t="s">
        <v>22</v>
      </c>
      <c r="B177" t="s">
        <v>131</v>
      </c>
      <c r="C177">
        <v>2019</v>
      </c>
      <c r="D177">
        <v>864791</v>
      </c>
    </row>
    <row r="178" spans="1:4" x14ac:dyDescent="0.35">
      <c r="A178" t="s">
        <v>22</v>
      </c>
      <c r="B178" t="s">
        <v>131</v>
      </c>
      <c r="C178">
        <v>2020</v>
      </c>
      <c r="D178">
        <v>1168070</v>
      </c>
    </row>
    <row r="179" spans="1:4" x14ac:dyDescent="0.35">
      <c r="A179" t="s">
        <v>22</v>
      </c>
      <c r="B179" t="s">
        <v>131</v>
      </c>
      <c r="C179">
        <v>2021</v>
      </c>
      <c r="D179">
        <v>1083154</v>
      </c>
    </row>
    <row r="180" spans="1:4" x14ac:dyDescent="0.35">
      <c r="A180" t="s">
        <v>22</v>
      </c>
      <c r="B180" t="s">
        <v>131</v>
      </c>
      <c r="C180">
        <v>2022</v>
      </c>
      <c r="D180">
        <v>1266129</v>
      </c>
    </row>
    <row r="181" spans="1:4" x14ac:dyDescent="0.35">
      <c r="A181" t="s">
        <v>22</v>
      </c>
      <c r="B181" t="s">
        <v>131</v>
      </c>
      <c r="C181">
        <v>2023</v>
      </c>
      <c r="D181">
        <v>1273123</v>
      </c>
    </row>
    <row r="182" spans="1:4" x14ac:dyDescent="0.35">
      <c r="A182" t="s">
        <v>22</v>
      </c>
      <c r="B182" t="s">
        <v>131</v>
      </c>
      <c r="C182">
        <v>2024</v>
      </c>
      <c r="D182">
        <v>1185976</v>
      </c>
    </row>
    <row r="183" spans="1:4" x14ac:dyDescent="0.35">
      <c r="A183" t="s">
        <v>23</v>
      </c>
      <c r="B183" t="s">
        <v>23</v>
      </c>
      <c r="C183">
        <v>2018</v>
      </c>
      <c r="D183">
        <v>5397488</v>
      </c>
    </row>
    <row r="184" spans="1:4" x14ac:dyDescent="0.35">
      <c r="A184" t="s">
        <v>23</v>
      </c>
      <c r="B184" t="s">
        <v>23</v>
      </c>
      <c r="C184">
        <v>2019</v>
      </c>
      <c r="D184">
        <v>718278</v>
      </c>
    </row>
    <row r="185" spans="1:4" x14ac:dyDescent="0.35">
      <c r="A185" t="s">
        <v>23</v>
      </c>
      <c r="B185" t="s">
        <v>23</v>
      </c>
      <c r="C185">
        <v>2020</v>
      </c>
      <c r="D185">
        <v>1541510</v>
      </c>
    </row>
    <row r="186" spans="1:4" x14ac:dyDescent="0.35">
      <c r="A186" t="s">
        <v>23</v>
      </c>
      <c r="B186" t="s">
        <v>23</v>
      </c>
      <c r="C186">
        <v>2021</v>
      </c>
      <c r="D186">
        <v>6590950</v>
      </c>
    </row>
    <row r="187" spans="1:4" x14ac:dyDescent="0.35">
      <c r="A187" t="s">
        <v>23</v>
      </c>
      <c r="B187" t="s">
        <v>23</v>
      </c>
      <c r="C187">
        <v>2022</v>
      </c>
      <c r="D187">
        <v>1337683</v>
      </c>
    </row>
    <row r="188" spans="1:4" x14ac:dyDescent="0.35">
      <c r="A188" t="s">
        <v>23</v>
      </c>
      <c r="B188" t="s">
        <v>23</v>
      </c>
      <c r="C188">
        <v>2023</v>
      </c>
      <c r="D188">
        <v>753686</v>
      </c>
    </row>
    <row r="189" spans="1:4" x14ac:dyDescent="0.35">
      <c r="A189" t="s">
        <v>23</v>
      </c>
      <c r="B189" t="s">
        <v>23</v>
      </c>
      <c r="C189">
        <v>2024</v>
      </c>
      <c r="D189">
        <v>2182937</v>
      </c>
    </row>
    <row r="190" spans="1:4" x14ac:dyDescent="0.35">
      <c r="A190" t="s">
        <v>24</v>
      </c>
      <c r="B190" t="s">
        <v>125</v>
      </c>
      <c r="C190">
        <v>2018</v>
      </c>
      <c r="D190">
        <v>2900000</v>
      </c>
    </row>
    <row r="191" spans="1:4" x14ac:dyDescent="0.35">
      <c r="A191" t="s">
        <v>24</v>
      </c>
      <c r="B191" t="s">
        <v>125</v>
      </c>
      <c r="C191">
        <v>2019</v>
      </c>
      <c r="D191">
        <v>2000000</v>
      </c>
    </row>
    <row r="192" spans="1:4" x14ac:dyDescent="0.35">
      <c r="A192" t="s">
        <v>24</v>
      </c>
      <c r="B192" t="s">
        <v>125</v>
      </c>
      <c r="C192">
        <v>2020</v>
      </c>
      <c r="D192">
        <v>3500000</v>
      </c>
    </row>
    <row r="193" spans="1:4" x14ac:dyDescent="0.35">
      <c r="A193" t="s">
        <v>24</v>
      </c>
      <c r="B193" t="s">
        <v>125</v>
      </c>
      <c r="C193">
        <v>2021</v>
      </c>
      <c r="D193">
        <v>3000000</v>
      </c>
    </row>
    <row r="194" spans="1:4" x14ac:dyDescent="0.35">
      <c r="A194" t="s">
        <v>24</v>
      </c>
      <c r="B194" t="s">
        <v>125</v>
      </c>
      <c r="C194">
        <v>2022</v>
      </c>
      <c r="D194">
        <v>3000000</v>
      </c>
    </row>
    <row r="195" spans="1:4" x14ac:dyDescent="0.35">
      <c r="A195" t="s">
        <v>24</v>
      </c>
      <c r="B195" t="s">
        <v>125</v>
      </c>
      <c r="C195">
        <v>2023</v>
      </c>
      <c r="D195">
        <v>2500000</v>
      </c>
    </row>
    <row r="196" spans="1:4" x14ac:dyDescent="0.35">
      <c r="A196" t="s">
        <v>24</v>
      </c>
      <c r="B196" t="s">
        <v>125</v>
      </c>
      <c r="C196">
        <v>2024</v>
      </c>
      <c r="D196">
        <v>5000000</v>
      </c>
    </row>
    <row r="197" spans="1:4" x14ac:dyDescent="0.35">
      <c r="A197" t="s">
        <v>24</v>
      </c>
      <c r="B197" t="s">
        <v>126</v>
      </c>
      <c r="C197">
        <v>2018</v>
      </c>
      <c r="D197">
        <v>2100000</v>
      </c>
    </row>
    <row r="198" spans="1:4" x14ac:dyDescent="0.35">
      <c r="A198" t="s">
        <v>24</v>
      </c>
      <c r="B198" t="s">
        <v>126</v>
      </c>
      <c r="C198">
        <v>2019</v>
      </c>
      <c r="D198">
        <v>2000000</v>
      </c>
    </row>
    <row r="199" spans="1:4" x14ac:dyDescent="0.35">
      <c r="A199" t="s">
        <v>24</v>
      </c>
      <c r="B199" t="s">
        <v>126</v>
      </c>
      <c r="C199">
        <v>2020</v>
      </c>
      <c r="D199">
        <v>2500000</v>
      </c>
    </row>
    <row r="200" spans="1:4" x14ac:dyDescent="0.35">
      <c r="A200" t="s">
        <v>24</v>
      </c>
      <c r="B200" t="s">
        <v>126</v>
      </c>
      <c r="C200">
        <v>2021</v>
      </c>
      <c r="D200">
        <v>3000000</v>
      </c>
    </row>
    <row r="201" spans="1:4" x14ac:dyDescent="0.35">
      <c r="A201" t="s">
        <v>24</v>
      </c>
      <c r="B201" t="s">
        <v>126</v>
      </c>
      <c r="C201">
        <v>2022</v>
      </c>
      <c r="D201">
        <v>2200000</v>
      </c>
    </row>
    <row r="202" spans="1:4" x14ac:dyDescent="0.35">
      <c r="A202" t="s">
        <v>24</v>
      </c>
      <c r="B202" t="s">
        <v>126</v>
      </c>
      <c r="C202">
        <v>2023</v>
      </c>
      <c r="D202">
        <v>2000000</v>
      </c>
    </row>
    <row r="203" spans="1:4" x14ac:dyDescent="0.35">
      <c r="A203" t="s">
        <v>24</v>
      </c>
      <c r="B203" t="s">
        <v>126</v>
      </c>
      <c r="C203">
        <v>2024</v>
      </c>
      <c r="D203">
        <v>4000000</v>
      </c>
    </row>
    <row r="204" spans="1:4" x14ac:dyDescent="0.35">
      <c r="A204" t="s">
        <v>24</v>
      </c>
      <c r="B204" t="s">
        <v>127</v>
      </c>
      <c r="C204">
        <v>2018</v>
      </c>
      <c r="D204">
        <v>1800000</v>
      </c>
    </row>
    <row r="205" spans="1:4" x14ac:dyDescent="0.35">
      <c r="A205" t="s">
        <v>24</v>
      </c>
      <c r="B205" t="s">
        <v>127</v>
      </c>
      <c r="C205">
        <v>2019</v>
      </c>
      <c r="D205">
        <v>1800000</v>
      </c>
    </row>
    <row r="206" spans="1:4" x14ac:dyDescent="0.35">
      <c r="A206" t="s">
        <v>24</v>
      </c>
      <c r="B206" t="s">
        <v>127</v>
      </c>
      <c r="C206">
        <v>2020</v>
      </c>
      <c r="D206">
        <v>2000000</v>
      </c>
    </row>
    <row r="207" spans="1:4" x14ac:dyDescent="0.35">
      <c r="A207" t="s">
        <v>24</v>
      </c>
      <c r="B207" t="s">
        <v>127</v>
      </c>
      <c r="C207">
        <v>2021</v>
      </c>
      <c r="D207">
        <v>2500000</v>
      </c>
    </row>
    <row r="208" spans="1:4" x14ac:dyDescent="0.35">
      <c r="A208" t="s">
        <v>24</v>
      </c>
      <c r="B208" t="s">
        <v>127</v>
      </c>
      <c r="C208">
        <v>2022</v>
      </c>
      <c r="D208">
        <v>1083231</v>
      </c>
    </row>
    <row r="209" spans="1:4" x14ac:dyDescent="0.35">
      <c r="A209" t="s">
        <v>24</v>
      </c>
      <c r="B209" t="s">
        <v>127</v>
      </c>
      <c r="C209">
        <v>2023</v>
      </c>
      <c r="D209">
        <v>1079000</v>
      </c>
    </row>
    <row r="210" spans="1:4" x14ac:dyDescent="0.35">
      <c r="A210" t="s">
        <v>24</v>
      </c>
      <c r="B210" t="s">
        <v>127</v>
      </c>
      <c r="C210">
        <v>2024</v>
      </c>
      <c r="D210">
        <v>2314332</v>
      </c>
    </row>
    <row r="211" spans="1:4" x14ac:dyDescent="0.35">
      <c r="A211" t="s">
        <v>24</v>
      </c>
      <c r="B211" t="s">
        <v>132</v>
      </c>
      <c r="C211">
        <v>2018</v>
      </c>
      <c r="D211">
        <v>2391678</v>
      </c>
    </row>
    <row r="212" spans="1:4" x14ac:dyDescent="0.35">
      <c r="A212" t="s">
        <v>24</v>
      </c>
      <c r="B212" t="s">
        <v>132</v>
      </c>
      <c r="C212">
        <v>2019</v>
      </c>
      <c r="D212">
        <v>2066807</v>
      </c>
    </row>
    <row r="213" spans="1:4" x14ac:dyDescent="0.35">
      <c r="A213" t="s">
        <v>24</v>
      </c>
      <c r="B213" t="s">
        <v>132</v>
      </c>
      <c r="C213">
        <v>2020</v>
      </c>
      <c r="D213">
        <v>3697583</v>
      </c>
    </row>
    <row r="214" spans="1:4" x14ac:dyDescent="0.35">
      <c r="A214" t="s">
        <v>24</v>
      </c>
      <c r="B214" t="s">
        <v>132</v>
      </c>
      <c r="C214">
        <v>2021</v>
      </c>
      <c r="D214">
        <v>4394551</v>
      </c>
    </row>
    <row r="215" spans="1:4" x14ac:dyDescent="0.35">
      <c r="A215" t="s">
        <v>24</v>
      </c>
      <c r="B215" t="s">
        <v>132</v>
      </c>
      <c r="C215">
        <v>2022</v>
      </c>
      <c r="D215">
        <v>2600000</v>
      </c>
    </row>
    <row r="216" spans="1:4" x14ac:dyDescent="0.35">
      <c r="A216" t="s">
        <v>24</v>
      </c>
      <c r="B216" t="s">
        <v>132</v>
      </c>
      <c r="C216">
        <v>2023</v>
      </c>
      <c r="D216">
        <v>1999753</v>
      </c>
    </row>
    <row r="217" spans="1:4" x14ac:dyDescent="0.35">
      <c r="A217" t="s">
        <v>24</v>
      </c>
      <c r="B217" t="s">
        <v>132</v>
      </c>
      <c r="C217">
        <v>2024</v>
      </c>
      <c r="D217">
        <v>7000000</v>
      </c>
    </row>
    <row r="218" spans="1:4" x14ac:dyDescent="0.35">
      <c r="A218" t="s">
        <v>107</v>
      </c>
      <c r="B218" t="s">
        <v>107</v>
      </c>
      <c r="C218">
        <v>2018</v>
      </c>
      <c r="D218">
        <v>30506212</v>
      </c>
    </row>
    <row r="219" spans="1:4" x14ac:dyDescent="0.35">
      <c r="A219" t="s">
        <v>107</v>
      </c>
      <c r="B219" t="s">
        <v>107</v>
      </c>
      <c r="C219">
        <v>2019</v>
      </c>
      <c r="D219">
        <v>31440760</v>
      </c>
    </row>
    <row r="220" spans="1:4" x14ac:dyDescent="0.35">
      <c r="A220" t="s">
        <v>107</v>
      </c>
      <c r="B220" t="s">
        <v>107</v>
      </c>
      <c r="C220">
        <v>2020</v>
      </c>
      <c r="D220">
        <v>24000819</v>
      </c>
    </row>
    <row r="221" spans="1:4" x14ac:dyDescent="0.35">
      <c r="A221" t="s">
        <v>107</v>
      </c>
      <c r="B221" t="s">
        <v>107</v>
      </c>
      <c r="C221">
        <v>2021</v>
      </c>
      <c r="D221">
        <v>35498354</v>
      </c>
    </row>
    <row r="222" spans="1:4" x14ac:dyDescent="0.35">
      <c r="A222" t="s">
        <v>107</v>
      </c>
      <c r="B222" t="s">
        <v>107</v>
      </c>
      <c r="C222">
        <v>2022</v>
      </c>
      <c r="D222">
        <v>44893708</v>
      </c>
    </row>
    <row r="223" spans="1:4" x14ac:dyDescent="0.35">
      <c r="A223" t="s">
        <v>107</v>
      </c>
      <c r="B223" t="s">
        <v>107</v>
      </c>
      <c r="C223">
        <v>2023</v>
      </c>
      <c r="D223">
        <v>47333780</v>
      </c>
    </row>
    <row r="224" spans="1:4" x14ac:dyDescent="0.35">
      <c r="A224" t="s">
        <v>107</v>
      </c>
      <c r="B224" t="s">
        <v>107</v>
      </c>
      <c r="C224">
        <v>2024</v>
      </c>
      <c r="D224">
        <v>32589276</v>
      </c>
    </row>
    <row r="225" spans="1:4" x14ac:dyDescent="0.35">
      <c r="A225" t="s">
        <v>29</v>
      </c>
      <c r="B225" t="s">
        <v>29</v>
      </c>
      <c r="C225">
        <v>2018</v>
      </c>
      <c r="D225">
        <v>11513774</v>
      </c>
    </row>
    <row r="226" spans="1:4" x14ac:dyDescent="0.35">
      <c r="A226" t="s">
        <v>29</v>
      </c>
      <c r="B226" t="s">
        <v>29</v>
      </c>
      <c r="C226">
        <v>2019</v>
      </c>
      <c r="D226">
        <v>12706881</v>
      </c>
    </row>
    <row r="227" spans="1:4" x14ac:dyDescent="0.35">
      <c r="A227" t="s">
        <v>29</v>
      </c>
      <c r="B227" t="s">
        <v>29</v>
      </c>
      <c r="C227">
        <v>2020</v>
      </c>
      <c r="D227">
        <v>13046404</v>
      </c>
    </row>
    <row r="228" spans="1:4" x14ac:dyDescent="0.35">
      <c r="A228" t="s">
        <v>29</v>
      </c>
      <c r="B228" t="s">
        <v>29</v>
      </c>
      <c r="C228">
        <v>2021</v>
      </c>
      <c r="D228">
        <v>15136198</v>
      </c>
    </row>
    <row r="229" spans="1:4" x14ac:dyDescent="0.35">
      <c r="A229" t="s">
        <v>29</v>
      </c>
      <c r="B229" t="s">
        <v>29</v>
      </c>
      <c r="C229">
        <v>2022</v>
      </c>
      <c r="D229">
        <v>20142900</v>
      </c>
    </row>
    <row r="230" spans="1:4" x14ac:dyDescent="0.35">
      <c r="A230" t="s">
        <v>29</v>
      </c>
      <c r="B230" t="s">
        <v>29</v>
      </c>
      <c r="C230">
        <v>2023</v>
      </c>
      <c r="D230">
        <v>19885724</v>
      </c>
    </row>
    <row r="231" spans="1:4" x14ac:dyDescent="0.35">
      <c r="A231" t="s">
        <v>29</v>
      </c>
      <c r="B231" t="s">
        <v>29</v>
      </c>
      <c r="C231">
        <v>2024</v>
      </c>
      <c r="D231">
        <v>3971075</v>
      </c>
    </row>
    <row r="232" spans="1:4" x14ac:dyDescent="0.35">
      <c r="A232" t="s">
        <v>30</v>
      </c>
      <c r="B232" t="s">
        <v>30</v>
      </c>
      <c r="C232">
        <v>2018</v>
      </c>
      <c r="D232">
        <v>18992439</v>
      </c>
    </row>
    <row r="233" spans="1:4" x14ac:dyDescent="0.35">
      <c r="A233" t="s">
        <v>30</v>
      </c>
      <c r="B233" t="s">
        <v>30</v>
      </c>
      <c r="C233">
        <v>2019</v>
      </c>
      <c r="D233">
        <v>18733879</v>
      </c>
    </row>
    <row r="234" spans="1:4" x14ac:dyDescent="0.35">
      <c r="A234" t="s">
        <v>30</v>
      </c>
      <c r="B234" t="s">
        <v>30</v>
      </c>
      <c r="C234">
        <v>2020</v>
      </c>
      <c r="D234">
        <v>10954415</v>
      </c>
    </row>
    <row r="235" spans="1:4" x14ac:dyDescent="0.35">
      <c r="A235" t="s">
        <v>30</v>
      </c>
      <c r="B235" t="s">
        <v>30</v>
      </c>
      <c r="C235">
        <v>2021</v>
      </c>
      <c r="D235">
        <v>20362156</v>
      </c>
    </row>
    <row r="236" spans="1:4" x14ac:dyDescent="0.35">
      <c r="A236" t="s">
        <v>30</v>
      </c>
      <c r="B236" t="s">
        <v>30</v>
      </c>
      <c r="C236">
        <v>2022</v>
      </c>
      <c r="D236">
        <v>24750809</v>
      </c>
    </row>
    <row r="237" spans="1:4" x14ac:dyDescent="0.35">
      <c r="A237" t="s">
        <v>30</v>
      </c>
      <c r="B237" t="s">
        <v>30</v>
      </c>
      <c r="C237">
        <v>2023</v>
      </c>
      <c r="D237">
        <v>27448056</v>
      </c>
    </row>
    <row r="238" spans="1:4" x14ac:dyDescent="0.35">
      <c r="A238" t="s">
        <v>30</v>
      </c>
      <c r="B238" t="s">
        <v>30</v>
      </c>
      <c r="C238">
        <v>2024</v>
      </c>
      <c r="D238">
        <v>28618201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31500-C5EC-46FD-B0F8-40784B57574C}">
  <sheetPr codeName="Hoja13"/>
  <dimension ref="A1:C441"/>
  <sheetViews>
    <sheetView workbookViewId="0"/>
  </sheetViews>
  <sheetFormatPr baseColWidth="10" defaultRowHeight="14.5" x14ac:dyDescent="0.35"/>
  <cols>
    <col min="1" max="1" width="20.1796875" customWidth="1"/>
  </cols>
  <sheetData>
    <row r="1" spans="1:3" x14ac:dyDescent="0.35">
      <c r="A1" t="s">
        <v>167</v>
      </c>
      <c r="B1">
        <v>2018</v>
      </c>
      <c r="C1">
        <v>2.3692579904165793E-2</v>
      </c>
    </row>
    <row r="2" spans="1:3" x14ac:dyDescent="0.35">
      <c r="A2" t="s">
        <v>167</v>
      </c>
      <c r="B2">
        <v>2019</v>
      </c>
      <c r="C2">
        <v>2.5234716348002378E-2</v>
      </c>
    </row>
    <row r="3" spans="1:3" x14ac:dyDescent="0.35">
      <c r="A3" t="s">
        <v>167</v>
      </c>
      <c r="B3">
        <v>2020</v>
      </c>
      <c r="C3">
        <v>1.7392654709216554E-2</v>
      </c>
    </row>
    <row r="4" spans="1:3" x14ac:dyDescent="0.35">
      <c r="A4" t="s">
        <v>167</v>
      </c>
      <c r="B4">
        <v>2021</v>
      </c>
      <c r="C4">
        <v>3.9425141719644383E-2</v>
      </c>
    </row>
    <row r="5" spans="1:3" x14ac:dyDescent="0.35">
      <c r="A5" t="s">
        <v>167</v>
      </c>
      <c r="B5">
        <v>2022</v>
      </c>
      <c r="C5">
        <v>4.1620177632474824E-2</v>
      </c>
    </row>
    <row r="6" spans="1:3" x14ac:dyDescent="0.35">
      <c r="A6" t="s">
        <v>167</v>
      </c>
      <c r="B6">
        <v>2023</v>
      </c>
      <c r="C6">
        <v>4.5749520190002523E-2</v>
      </c>
    </row>
    <row r="7" spans="1:3" x14ac:dyDescent="0.35">
      <c r="A7" t="s">
        <v>167</v>
      </c>
      <c r="B7">
        <v>2024</v>
      </c>
      <c r="C7">
        <v>5.1839972887719819E-2</v>
      </c>
    </row>
    <row r="8" spans="1:3" x14ac:dyDescent="0.35">
      <c r="A8" t="s">
        <v>168</v>
      </c>
      <c r="B8">
        <v>2018</v>
      </c>
      <c r="C8">
        <v>1.2161809915306081</v>
      </c>
    </row>
    <row r="9" spans="1:3" x14ac:dyDescent="0.35">
      <c r="A9" t="s">
        <v>168</v>
      </c>
      <c r="B9">
        <v>2019</v>
      </c>
      <c r="C9">
        <v>1.2468359505745845</v>
      </c>
    </row>
    <row r="10" spans="1:3" x14ac:dyDescent="0.35">
      <c r="A10" t="s">
        <v>168</v>
      </c>
      <c r="B10">
        <v>2020</v>
      </c>
      <c r="C10">
        <v>1.7445239164764124</v>
      </c>
    </row>
    <row r="11" spans="1:3" x14ac:dyDescent="0.35">
      <c r="A11" t="s">
        <v>168</v>
      </c>
      <c r="B11">
        <v>2021</v>
      </c>
      <c r="C11">
        <v>1.6014852825492594</v>
      </c>
    </row>
    <row r="12" spans="1:3" x14ac:dyDescent="0.35">
      <c r="A12" t="s">
        <v>168</v>
      </c>
      <c r="B12">
        <v>2022</v>
      </c>
      <c r="C12">
        <v>1.8619971117445984</v>
      </c>
    </row>
    <row r="13" spans="1:3" x14ac:dyDescent="0.35">
      <c r="A13" t="s">
        <v>168</v>
      </c>
      <c r="B13">
        <v>2023</v>
      </c>
      <c r="C13">
        <v>1.7561093318554342</v>
      </c>
    </row>
    <row r="14" spans="1:3" x14ac:dyDescent="0.35">
      <c r="A14" t="s">
        <v>168</v>
      </c>
      <c r="B14">
        <v>2024</v>
      </c>
      <c r="C14">
        <v>1.6627548206813139</v>
      </c>
    </row>
    <row r="15" spans="1:3" x14ac:dyDescent="0.35">
      <c r="A15" t="s">
        <v>169</v>
      </c>
      <c r="B15">
        <v>2018</v>
      </c>
      <c r="C15">
        <v>2.8814465319766516E-2</v>
      </c>
    </row>
    <row r="16" spans="1:3" x14ac:dyDescent="0.35">
      <c r="A16" t="s">
        <v>169</v>
      </c>
      <c r="B16">
        <v>2019</v>
      </c>
      <c r="C16">
        <v>3.1463551545241546E-2</v>
      </c>
    </row>
    <row r="17" spans="1:3" x14ac:dyDescent="0.35">
      <c r="A17" t="s">
        <v>169</v>
      </c>
      <c r="B17">
        <v>2020</v>
      </c>
      <c r="C17">
        <v>3.0341902111244382E-2</v>
      </c>
    </row>
    <row r="18" spans="1:3" x14ac:dyDescent="0.35">
      <c r="A18" t="s">
        <v>169</v>
      </c>
      <c r="B18">
        <v>2021</v>
      </c>
      <c r="C18">
        <v>6.3138784226429281E-2</v>
      </c>
    </row>
    <row r="19" spans="1:3" x14ac:dyDescent="0.35">
      <c r="A19" t="s">
        <v>169</v>
      </c>
      <c r="B19">
        <v>2022</v>
      </c>
      <c r="C19">
        <v>7.7496650541965265E-2</v>
      </c>
    </row>
    <row r="20" spans="1:3" x14ac:dyDescent="0.35">
      <c r="A20" t="s">
        <v>169</v>
      </c>
      <c r="B20">
        <v>2023</v>
      </c>
      <c r="C20">
        <v>8.0341159333572013E-2</v>
      </c>
    </row>
    <row r="21" spans="1:3" x14ac:dyDescent="0.35">
      <c r="A21" t="s">
        <v>169</v>
      </c>
      <c r="B21">
        <v>2024</v>
      </c>
      <c r="C21">
        <v>8.6197164823044736E-2</v>
      </c>
    </row>
    <row r="22" spans="1:3" x14ac:dyDescent="0.35">
      <c r="A22" t="s">
        <v>170</v>
      </c>
      <c r="B22">
        <v>2018</v>
      </c>
      <c r="C22">
        <v>2.175421928721017</v>
      </c>
    </row>
    <row r="23" spans="1:3" x14ac:dyDescent="0.35">
      <c r="A23" t="s">
        <v>170</v>
      </c>
      <c r="B23">
        <v>2019</v>
      </c>
      <c r="C23">
        <v>2.4323704324043547</v>
      </c>
    </row>
    <row r="24" spans="1:3" x14ac:dyDescent="0.35">
      <c r="A24" t="s">
        <v>170</v>
      </c>
      <c r="B24">
        <v>2020</v>
      </c>
      <c r="C24">
        <v>5.47582097121846</v>
      </c>
    </row>
    <row r="25" spans="1:3" x14ac:dyDescent="0.35">
      <c r="A25" t="s">
        <v>170</v>
      </c>
      <c r="B25">
        <v>2021</v>
      </c>
      <c r="C25">
        <v>5.8724842303667337</v>
      </c>
    </row>
    <row r="26" spans="1:3" x14ac:dyDescent="0.35">
      <c r="A26" t="s">
        <v>170</v>
      </c>
      <c r="B26">
        <v>2022</v>
      </c>
      <c r="C26">
        <v>15.523332847401072</v>
      </c>
    </row>
    <row r="27" spans="1:3" x14ac:dyDescent="0.35">
      <c r="A27" t="s">
        <v>170</v>
      </c>
      <c r="B27">
        <v>2023</v>
      </c>
      <c r="C27">
        <v>7.0413308192260144</v>
      </c>
    </row>
    <row r="28" spans="1:3" x14ac:dyDescent="0.35">
      <c r="A28" t="s">
        <v>170</v>
      </c>
      <c r="B28">
        <v>2024</v>
      </c>
      <c r="C28">
        <v>6.56252661030351</v>
      </c>
    </row>
    <row r="29" spans="1:3" x14ac:dyDescent="0.35">
      <c r="A29" t="s">
        <v>171</v>
      </c>
      <c r="B29">
        <v>2018</v>
      </c>
      <c r="C29">
        <v>6.2683619720991332E-2</v>
      </c>
    </row>
    <row r="30" spans="1:3" x14ac:dyDescent="0.35">
      <c r="A30" t="s">
        <v>171</v>
      </c>
      <c r="B30">
        <v>2019</v>
      </c>
      <c r="C30">
        <v>7.6531012477075888E-2</v>
      </c>
    </row>
    <row r="31" spans="1:3" x14ac:dyDescent="0.35">
      <c r="A31" t="s">
        <v>171</v>
      </c>
      <c r="B31">
        <v>2020</v>
      </c>
      <c r="C31">
        <v>0.16614682388740964</v>
      </c>
    </row>
    <row r="32" spans="1:3" x14ac:dyDescent="0.35">
      <c r="A32" t="s">
        <v>171</v>
      </c>
      <c r="B32">
        <v>2021</v>
      </c>
      <c r="C32">
        <v>0.37078151469423382</v>
      </c>
    </row>
    <row r="33" spans="1:3" x14ac:dyDescent="0.35">
      <c r="A33" t="s">
        <v>171</v>
      </c>
      <c r="B33">
        <v>2022</v>
      </c>
      <c r="C33">
        <v>1.2030063009216514</v>
      </c>
    </row>
    <row r="34" spans="1:3" x14ac:dyDescent="0.35">
      <c r="A34" t="s">
        <v>171</v>
      </c>
      <c r="B34">
        <v>2023</v>
      </c>
      <c r="C34">
        <v>0.56570868126782836</v>
      </c>
    </row>
    <row r="35" spans="1:3" x14ac:dyDescent="0.35">
      <c r="A35" t="s">
        <v>171</v>
      </c>
      <c r="B35">
        <v>2024</v>
      </c>
      <c r="C35">
        <v>0.56567118788394866</v>
      </c>
    </row>
    <row r="36" spans="1:3" x14ac:dyDescent="0.35">
      <c r="A36" t="s">
        <v>174</v>
      </c>
      <c r="B36">
        <v>2018</v>
      </c>
      <c r="C36">
        <v>801619698.79483998</v>
      </c>
    </row>
    <row r="37" spans="1:3" x14ac:dyDescent="0.35">
      <c r="A37" t="s">
        <v>174</v>
      </c>
      <c r="B37">
        <v>2019</v>
      </c>
      <c r="C37">
        <v>742385161.11955917</v>
      </c>
    </row>
    <row r="38" spans="1:3" x14ac:dyDescent="0.35">
      <c r="A38" t="s">
        <v>174</v>
      </c>
      <c r="B38">
        <v>2020</v>
      </c>
      <c r="C38">
        <v>629829965.80925071</v>
      </c>
    </row>
    <row r="39" spans="1:3" x14ac:dyDescent="0.35">
      <c r="A39" t="s">
        <v>174</v>
      </c>
      <c r="B39">
        <v>2021</v>
      </c>
      <c r="C39">
        <v>516476423.01720613</v>
      </c>
    </row>
    <row r="40" spans="1:3" x14ac:dyDescent="0.35">
      <c r="A40" t="s">
        <v>174</v>
      </c>
      <c r="B40">
        <v>2022</v>
      </c>
      <c r="C40">
        <v>594682925.04107368</v>
      </c>
    </row>
    <row r="41" spans="1:3" x14ac:dyDescent="0.35">
      <c r="A41" t="s">
        <v>174</v>
      </c>
      <c r="B41">
        <v>2023</v>
      </c>
      <c r="C41">
        <v>599963806.97050941</v>
      </c>
    </row>
    <row r="42" spans="1:3" x14ac:dyDescent="0.35">
      <c r="A42" t="s">
        <v>174</v>
      </c>
      <c r="B42">
        <v>2024</v>
      </c>
      <c r="C42">
        <v>552048926.84052622</v>
      </c>
    </row>
    <row r="43" spans="1:3" x14ac:dyDescent="0.35">
      <c r="A43" t="s">
        <v>175</v>
      </c>
      <c r="B43">
        <v>2018</v>
      </c>
      <c r="C43" t="s">
        <v>11</v>
      </c>
    </row>
    <row r="44" spans="1:3" x14ac:dyDescent="0.35">
      <c r="A44" t="s">
        <v>175</v>
      </c>
      <c r="B44">
        <v>2019</v>
      </c>
      <c r="C44">
        <v>-7.3893565445477871E-2</v>
      </c>
    </row>
    <row r="45" spans="1:3" x14ac:dyDescent="0.35">
      <c r="A45" t="s">
        <v>175</v>
      </c>
      <c r="B45">
        <v>2020</v>
      </c>
      <c r="C45">
        <v>-0.15161293787253072</v>
      </c>
    </row>
    <row r="46" spans="1:3" x14ac:dyDescent="0.35">
      <c r="A46" t="s">
        <v>175</v>
      </c>
      <c r="B46">
        <v>2021</v>
      </c>
      <c r="C46">
        <v>-0.179974832804914</v>
      </c>
    </row>
    <row r="47" spans="1:3" x14ac:dyDescent="0.35">
      <c r="A47" t="s">
        <v>175</v>
      </c>
      <c r="B47">
        <v>2022</v>
      </c>
      <c r="C47">
        <v>0.15142317933312932</v>
      </c>
    </row>
    <row r="48" spans="1:3" x14ac:dyDescent="0.35">
      <c r="A48" t="s">
        <v>175</v>
      </c>
      <c r="B48">
        <v>2023</v>
      </c>
      <c r="C48">
        <v>8.8801640455222763E-3</v>
      </c>
    </row>
    <row r="49" spans="1:3" x14ac:dyDescent="0.35">
      <c r="A49" t="s">
        <v>175</v>
      </c>
      <c r="B49">
        <v>2024</v>
      </c>
      <c r="C49">
        <v>-7.9862951020207795E-2</v>
      </c>
    </row>
    <row r="50" spans="1:3" x14ac:dyDescent="0.35">
      <c r="A50" t="s">
        <v>17</v>
      </c>
      <c r="B50">
        <v>2018</v>
      </c>
      <c r="C50">
        <v>327653642.34290785</v>
      </c>
    </row>
    <row r="51" spans="1:3" x14ac:dyDescent="0.35">
      <c r="A51" t="s">
        <v>17</v>
      </c>
      <c r="B51">
        <v>2019</v>
      </c>
      <c r="C51">
        <v>311816818.29741079</v>
      </c>
    </row>
    <row r="52" spans="1:3" x14ac:dyDescent="0.35">
      <c r="A52" t="s">
        <v>17</v>
      </c>
      <c r="B52">
        <v>2020</v>
      </c>
      <c r="C52">
        <v>268559139.96472245</v>
      </c>
    </row>
    <row r="53" spans="1:3" x14ac:dyDescent="0.35">
      <c r="A53" t="s">
        <v>17</v>
      </c>
      <c r="B53">
        <v>2021</v>
      </c>
      <c r="C53">
        <v>221876379.2003099</v>
      </c>
    </row>
    <row r="54" spans="1:3" x14ac:dyDescent="0.35">
      <c r="A54" t="s">
        <v>17</v>
      </c>
      <c r="B54">
        <v>2022</v>
      </c>
      <c r="C54">
        <v>262015989.54914004</v>
      </c>
    </row>
    <row r="55" spans="1:3" x14ac:dyDescent="0.35">
      <c r="A55" t="s">
        <v>17</v>
      </c>
      <c r="B55">
        <v>2023</v>
      </c>
      <c r="C55">
        <v>276224865.95174265</v>
      </c>
    </row>
    <row r="56" spans="1:3" x14ac:dyDescent="0.35">
      <c r="A56" t="s">
        <v>17</v>
      </c>
      <c r="B56">
        <v>2024</v>
      </c>
      <c r="C56">
        <v>253729671.51319331</v>
      </c>
    </row>
    <row r="57" spans="1:3" x14ac:dyDescent="0.35">
      <c r="A57" t="s">
        <v>176</v>
      </c>
      <c r="B57">
        <v>2018</v>
      </c>
      <c r="C57">
        <v>0.40873950931533287</v>
      </c>
    </row>
    <row r="58" spans="1:3" x14ac:dyDescent="0.35">
      <c r="A58" t="s">
        <v>176</v>
      </c>
      <c r="B58">
        <v>2019</v>
      </c>
      <c r="C58">
        <v>0.42002027334055714</v>
      </c>
    </row>
    <row r="59" spans="1:3" x14ac:dyDescent="0.35">
      <c r="A59" t="s">
        <v>176</v>
      </c>
      <c r="B59">
        <v>2020</v>
      </c>
      <c r="C59">
        <v>0.42639943245580325</v>
      </c>
    </row>
    <row r="60" spans="1:3" x14ac:dyDescent="0.35">
      <c r="A60" t="s">
        <v>176</v>
      </c>
      <c r="B60">
        <v>2021</v>
      </c>
      <c r="C60">
        <v>0.42959633646804091</v>
      </c>
    </row>
    <row r="61" spans="1:3" x14ac:dyDescent="0.35">
      <c r="A61" t="s">
        <v>176</v>
      </c>
      <c r="B61">
        <v>2022</v>
      </c>
      <c r="C61">
        <v>0.44059780181353458</v>
      </c>
    </row>
    <row r="62" spans="1:3" x14ac:dyDescent="0.35">
      <c r="A62" t="s">
        <v>176</v>
      </c>
      <c r="B62">
        <v>2023</v>
      </c>
      <c r="C62">
        <v>0.46040254885795168</v>
      </c>
    </row>
    <row r="63" spans="1:3" x14ac:dyDescent="0.35">
      <c r="A63" t="s">
        <v>176</v>
      </c>
      <c r="B63">
        <v>2024</v>
      </c>
      <c r="C63">
        <v>0.4596144638217724</v>
      </c>
    </row>
    <row r="64" spans="1:3" x14ac:dyDescent="0.35">
      <c r="A64" t="s">
        <v>177</v>
      </c>
      <c r="B64">
        <v>2018</v>
      </c>
      <c r="C64" t="s">
        <v>11</v>
      </c>
    </row>
    <row r="65" spans="1:3" x14ac:dyDescent="0.35">
      <c r="A65" t="s">
        <v>177</v>
      </c>
      <c r="B65">
        <v>2019</v>
      </c>
      <c r="C65">
        <v>-4.8334039360145242E-2</v>
      </c>
    </row>
    <row r="66" spans="1:3" x14ac:dyDescent="0.35">
      <c r="A66" t="s">
        <v>177</v>
      </c>
      <c r="B66">
        <v>2020</v>
      </c>
      <c r="C66">
        <v>-0.13872785492740536</v>
      </c>
    </row>
    <row r="67" spans="1:3" x14ac:dyDescent="0.35">
      <c r="A67" t="s">
        <v>177</v>
      </c>
      <c r="B67">
        <v>2021</v>
      </c>
      <c r="C67">
        <v>-0.17382674360122219</v>
      </c>
    </row>
    <row r="68" spans="1:3" x14ac:dyDescent="0.35">
      <c r="A68" t="s">
        <v>177</v>
      </c>
      <c r="B68">
        <v>2022</v>
      </c>
      <c r="C68">
        <v>0.18090979532612672</v>
      </c>
    </row>
    <row r="69" spans="1:3" x14ac:dyDescent="0.35">
      <c r="A69" t="s">
        <v>177</v>
      </c>
      <c r="B69">
        <v>2023</v>
      </c>
      <c r="C69">
        <v>5.42290431475283E-2</v>
      </c>
    </row>
    <row r="70" spans="1:3" x14ac:dyDescent="0.35">
      <c r="A70" t="s">
        <v>177</v>
      </c>
      <c r="B70">
        <v>2024</v>
      </c>
      <c r="C70">
        <v>-8.1437977573240339E-2</v>
      </c>
    </row>
    <row r="71" spans="1:3" x14ac:dyDescent="0.35">
      <c r="A71" t="s">
        <v>19</v>
      </c>
      <c r="B71">
        <v>2018</v>
      </c>
      <c r="C71">
        <v>84313692.223296747</v>
      </c>
    </row>
    <row r="72" spans="1:3" x14ac:dyDescent="0.35">
      <c r="A72" t="s">
        <v>19</v>
      </c>
      <c r="B72">
        <v>2019</v>
      </c>
      <c r="C72">
        <v>85071853.770182118</v>
      </c>
    </row>
    <row r="73" spans="1:3" x14ac:dyDescent="0.35">
      <c r="A73" t="s">
        <v>19</v>
      </c>
      <c r="B73">
        <v>2020</v>
      </c>
      <c r="C73">
        <v>75025705.758925945</v>
      </c>
    </row>
    <row r="74" spans="1:3" x14ac:dyDescent="0.35">
      <c r="A74" t="s">
        <v>19</v>
      </c>
      <c r="B74">
        <v>2021</v>
      </c>
      <c r="C74">
        <v>73289474.101991773</v>
      </c>
    </row>
    <row r="75" spans="1:3" x14ac:dyDescent="0.35">
      <c r="A75" t="s">
        <v>19</v>
      </c>
      <c r="B75">
        <v>2022</v>
      </c>
      <c r="C75">
        <v>88357088.822312057</v>
      </c>
    </row>
    <row r="76" spans="1:3" x14ac:dyDescent="0.35">
      <c r="A76" t="s">
        <v>19</v>
      </c>
      <c r="B76">
        <v>2023</v>
      </c>
      <c r="C76">
        <v>89867962.466487944</v>
      </c>
    </row>
    <row r="77" spans="1:3" x14ac:dyDescent="0.35">
      <c r="A77" t="s">
        <v>19</v>
      </c>
      <c r="B77">
        <v>2024</v>
      </c>
      <c r="C77">
        <v>81407185.168089852</v>
      </c>
    </row>
    <row r="78" spans="1:3" x14ac:dyDescent="0.35">
      <c r="A78" t="s">
        <v>178</v>
      </c>
      <c r="B78">
        <v>2018</v>
      </c>
      <c r="C78">
        <v>0.10517916706644619</v>
      </c>
    </row>
    <row r="79" spans="1:3" x14ac:dyDescent="0.35">
      <c r="A79" t="s">
        <v>178</v>
      </c>
      <c r="B79">
        <v>2019</v>
      </c>
      <c r="C79">
        <v>0.11459261071690725</v>
      </c>
    </row>
    <row r="80" spans="1:3" x14ac:dyDescent="0.35">
      <c r="A80" t="s">
        <v>178</v>
      </c>
      <c r="B80">
        <v>2020</v>
      </c>
      <c r="C80">
        <v>0.1191205719507606</v>
      </c>
    </row>
    <row r="81" spans="1:3" x14ac:dyDescent="0.35">
      <c r="A81" t="s">
        <v>178</v>
      </c>
      <c r="B81">
        <v>2021</v>
      </c>
      <c r="C81">
        <v>0.14190284558168528</v>
      </c>
    </row>
    <row r="82" spans="1:3" x14ac:dyDescent="0.35">
      <c r="A82" t="s">
        <v>178</v>
      </c>
      <c r="B82">
        <v>2022</v>
      </c>
      <c r="C82">
        <v>0.14857848628529127</v>
      </c>
    </row>
    <row r="83" spans="1:3" x14ac:dyDescent="0.35">
      <c r="A83" t="s">
        <v>178</v>
      </c>
      <c r="B83">
        <v>2023</v>
      </c>
      <c r="C83">
        <v>0.1497889729720068</v>
      </c>
    </row>
    <row r="84" spans="1:3" x14ac:dyDescent="0.35">
      <c r="A84" t="s">
        <v>178</v>
      </c>
      <c r="B84">
        <v>2024</v>
      </c>
      <c r="C84">
        <v>0.14746371419286619</v>
      </c>
    </row>
    <row r="85" spans="1:3" x14ac:dyDescent="0.35">
      <c r="A85" t="s">
        <v>179</v>
      </c>
      <c r="B85">
        <v>2018</v>
      </c>
      <c r="C85" t="s">
        <v>11</v>
      </c>
    </row>
    <row r="86" spans="1:3" x14ac:dyDescent="0.35">
      <c r="A86" t="s">
        <v>179</v>
      </c>
      <c r="B86">
        <v>2019</v>
      </c>
      <c r="C86">
        <v>8.9921521272897653E-3</v>
      </c>
    </row>
    <row r="87" spans="1:3" x14ac:dyDescent="0.35">
      <c r="A87" t="s">
        <v>179</v>
      </c>
      <c r="B87">
        <v>2020</v>
      </c>
      <c r="C87">
        <v>-0.11809015045558313</v>
      </c>
    </row>
    <row r="88" spans="1:3" x14ac:dyDescent="0.35">
      <c r="A88" t="s">
        <v>179</v>
      </c>
      <c r="B88">
        <v>2021</v>
      </c>
      <c r="C88">
        <v>-2.31418237172345E-2</v>
      </c>
    </row>
    <row r="89" spans="1:3" x14ac:dyDescent="0.35">
      <c r="A89" t="s">
        <v>179</v>
      </c>
      <c r="B89">
        <v>2022</v>
      </c>
      <c r="C89">
        <v>0.20559043307299141</v>
      </c>
    </row>
    <row r="90" spans="1:3" x14ac:dyDescent="0.35">
      <c r="A90" t="s">
        <v>179</v>
      </c>
      <c r="B90">
        <v>2023</v>
      </c>
      <c r="C90">
        <v>1.7099631329120513E-2</v>
      </c>
    </row>
    <row r="91" spans="1:3" x14ac:dyDescent="0.35">
      <c r="A91" t="s">
        <v>179</v>
      </c>
      <c r="B91">
        <v>2024</v>
      </c>
      <c r="C91">
        <v>-9.4146757823213578E-2</v>
      </c>
    </row>
    <row r="92" spans="1:3" x14ac:dyDescent="0.35">
      <c r="A92" t="s">
        <v>180</v>
      </c>
      <c r="B92">
        <v>2018</v>
      </c>
      <c r="C92">
        <v>53780899.543611407</v>
      </c>
    </row>
    <row r="93" spans="1:3" x14ac:dyDescent="0.35">
      <c r="A93" t="s">
        <v>180</v>
      </c>
      <c r="B93">
        <v>2019</v>
      </c>
      <c r="C93">
        <v>55954080.017437965</v>
      </c>
    </row>
    <row r="94" spans="1:3" x14ac:dyDescent="0.35">
      <c r="A94" t="s">
        <v>180</v>
      </c>
      <c r="B94">
        <v>2020</v>
      </c>
      <c r="C94">
        <v>49324962.590806119</v>
      </c>
    </row>
    <row r="95" spans="1:3" x14ac:dyDescent="0.35">
      <c r="A95" t="s">
        <v>180</v>
      </c>
      <c r="B95">
        <v>2021</v>
      </c>
      <c r="C95">
        <v>54885107.653033689</v>
      </c>
    </row>
    <row r="96" spans="1:3" x14ac:dyDescent="0.35">
      <c r="A96" t="s">
        <v>180</v>
      </c>
      <c r="B96">
        <v>2022</v>
      </c>
      <c r="C96">
        <v>70205384.725614935</v>
      </c>
    </row>
    <row r="97" spans="1:3" x14ac:dyDescent="0.35">
      <c r="A97" t="s">
        <v>180</v>
      </c>
      <c r="B97">
        <v>2023</v>
      </c>
      <c r="C97">
        <v>70931970.50938338</v>
      </c>
    </row>
    <row r="98" spans="1:3" x14ac:dyDescent="0.35">
      <c r="A98" t="s">
        <v>180</v>
      </c>
      <c r="B98">
        <v>2024</v>
      </c>
      <c r="C98">
        <v>62406646.665128089</v>
      </c>
    </row>
    <row r="99" spans="1:3" x14ac:dyDescent="0.35">
      <c r="A99" t="s">
        <v>181</v>
      </c>
      <c r="B99">
        <v>2018</v>
      </c>
      <c r="C99">
        <v>6.7090291848448766E-2</v>
      </c>
    </row>
    <row r="100" spans="1:3" x14ac:dyDescent="0.35">
      <c r="A100" t="s">
        <v>181</v>
      </c>
      <c r="B100">
        <v>2019</v>
      </c>
      <c r="C100">
        <v>7.5370687545877155E-2</v>
      </c>
    </row>
    <row r="101" spans="1:3" x14ac:dyDescent="0.35">
      <c r="A101" t="s">
        <v>181</v>
      </c>
      <c r="B101">
        <v>2020</v>
      </c>
      <c r="C101">
        <v>7.8314728209906412E-2</v>
      </c>
    </row>
    <row r="102" spans="1:3" x14ac:dyDescent="0.35">
      <c r="A102" t="s">
        <v>181</v>
      </c>
      <c r="B102">
        <v>2021</v>
      </c>
      <c r="C102">
        <v>0.10626837006886028</v>
      </c>
    </row>
    <row r="103" spans="1:3" x14ac:dyDescent="0.35">
      <c r="A103" t="s">
        <v>181</v>
      </c>
      <c r="B103">
        <v>2022</v>
      </c>
      <c r="C103">
        <v>0.11805515472092287</v>
      </c>
    </row>
    <row r="104" spans="1:3" x14ac:dyDescent="0.35">
      <c r="A104" t="s">
        <v>181</v>
      </c>
      <c r="B104">
        <v>2023</v>
      </c>
      <c r="C104">
        <v>0.11822708250944539</v>
      </c>
    </row>
    <row r="105" spans="1:3" x14ac:dyDescent="0.35">
      <c r="A105" t="s">
        <v>181</v>
      </c>
      <c r="B105">
        <v>2024</v>
      </c>
      <c r="C105">
        <v>0.11304549946739753</v>
      </c>
    </row>
    <row r="106" spans="1:3" x14ac:dyDescent="0.35">
      <c r="A106" t="s">
        <v>182</v>
      </c>
      <c r="B106">
        <v>2018</v>
      </c>
      <c r="C106" t="s">
        <v>11</v>
      </c>
    </row>
    <row r="107" spans="1:3" x14ac:dyDescent="0.35">
      <c r="A107" t="s">
        <v>182</v>
      </c>
      <c r="B107">
        <v>2019</v>
      </c>
      <c r="C107">
        <v>4.0408035050888413E-2</v>
      </c>
    </row>
    <row r="108" spans="1:3" x14ac:dyDescent="0.35">
      <c r="A108" t="s">
        <v>182</v>
      </c>
      <c r="B108">
        <v>2020</v>
      </c>
      <c r="C108">
        <v>-0.11847424574876209</v>
      </c>
    </row>
    <row r="109" spans="1:3" x14ac:dyDescent="0.35">
      <c r="A109" t="s">
        <v>182</v>
      </c>
      <c r="B109">
        <v>2021</v>
      </c>
      <c r="C109">
        <v>0.11272476997811132</v>
      </c>
    </row>
    <row r="110" spans="1:3" x14ac:dyDescent="0.35">
      <c r="A110" t="s">
        <v>182</v>
      </c>
      <c r="B110">
        <v>2022</v>
      </c>
      <c r="C110">
        <v>0.27913358883125827</v>
      </c>
    </row>
    <row r="111" spans="1:3" x14ac:dyDescent="0.35">
      <c r="A111" t="s">
        <v>182</v>
      </c>
      <c r="B111">
        <v>2023</v>
      </c>
      <c r="C111">
        <v>1.0349430981799745E-2</v>
      </c>
    </row>
    <row r="112" spans="1:3" x14ac:dyDescent="0.35">
      <c r="A112" t="s">
        <v>182</v>
      </c>
      <c r="B112">
        <v>2024</v>
      </c>
      <c r="C112">
        <v>-0.1201901453326677</v>
      </c>
    </row>
    <row r="113" spans="1:3" x14ac:dyDescent="0.35">
      <c r="A113" t="s">
        <v>30</v>
      </c>
      <c r="B113">
        <v>2018</v>
      </c>
      <c r="C113">
        <v>18992438.766450062</v>
      </c>
    </row>
    <row r="114" spans="1:3" x14ac:dyDescent="0.35">
      <c r="A114" t="s">
        <v>30</v>
      </c>
      <c r="B114">
        <v>2019</v>
      </c>
      <c r="C114">
        <v>18733878.961818118</v>
      </c>
    </row>
    <row r="115" spans="1:3" x14ac:dyDescent="0.35">
      <c r="A115" t="s">
        <v>30</v>
      </c>
      <c r="B115">
        <v>2020</v>
      </c>
      <c r="C115">
        <v>10954415.120837966</v>
      </c>
    </row>
    <row r="116" spans="1:3" x14ac:dyDescent="0.35">
      <c r="A116" t="s">
        <v>30</v>
      </c>
      <c r="B116">
        <v>2021</v>
      </c>
      <c r="C116">
        <v>20362156.172308356</v>
      </c>
    </row>
    <row r="117" spans="1:3" x14ac:dyDescent="0.35">
      <c r="A117" t="s">
        <v>30</v>
      </c>
      <c r="B117">
        <v>2022</v>
      </c>
      <c r="C117">
        <v>24750808.975209199</v>
      </c>
    </row>
    <row r="118" spans="1:3" x14ac:dyDescent="0.35">
      <c r="A118" t="s">
        <v>30</v>
      </c>
      <c r="B118">
        <v>2023</v>
      </c>
      <c r="C118">
        <v>27448056.300268095</v>
      </c>
    </row>
    <row r="119" spans="1:3" x14ac:dyDescent="0.35">
      <c r="A119" t="s">
        <v>30</v>
      </c>
      <c r="B119">
        <v>2024</v>
      </c>
      <c r="C119">
        <v>28618201.4001077</v>
      </c>
    </row>
    <row r="120" spans="1:3" x14ac:dyDescent="0.35">
      <c r="A120" t="s">
        <v>167</v>
      </c>
      <c r="B120">
        <v>2018</v>
      </c>
      <c r="C120">
        <v>2.3692579904165793E-2</v>
      </c>
    </row>
    <row r="121" spans="1:3" x14ac:dyDescent="0.35">
      <c r="A121" t="s">
        <v>167</v>
      </c>
      <c r="B121">
        <v>2019</v>
      </c>
      <c r="C121">
        <v>2.5234716348002378E-2</v>
      </c>
    </row>
    <row r="122" spans="1:3" x14ac:dyDescent="0.35">
      <c r="A122" t="s">
        <v>167</v>
      </c>
      <c r="B122">
        <v>2020</v>
      </c>
      <c r="C122">
        <v>1.7392654709216554E-2</v>
      </c>
    </row>
    <row r="123" spans="1:3" x14ac:dyDescent="0.35">
      <c r="A123" t="s">
        <v>167</v>
      </c>
      <c r="B123">
        <v>2021</v>
      </c>
      <c r="C123">
        <v>3.9425141719644383E-2</v>
      </c>
    </row>
    <row r="124" spans="1:3" x14ac:dyDescent="0.35">
      <c r="A124" t="s">
        <v>167</v>
      </c>
      <c r="B124">
        <v>2022</v>
      </c>
      <c r="C124">
        <v>4.1620177632474824E-2</v>
      </c>
    </row>
    <row r="125" spans="1:3" x14ac:dyDescent="0.35">
      <c r="A125" t="s">
        <v>167</v>
      </c>
      <c r="B125">
        <v>2023</v>
      </c>
      <c r="C125">
        <v>4.5749520190002523E-2</v>
      </c>
    </row>
    <row r="126" spans="1:3" x14ac:dyDescent="0.35">
      <c r="A126" t="s">
        <v>167</v>
      </c>
      <c r="B126">
        <v>2024</v>
      </c>
      <c r="C126">
        <v>5.1839972887719819E-2</v>
      </c>
    </row>
    <row r="127" spans="1:3" x14ac:dyDescent="0.35">
      <c r="A127" t="s">
        <v>183</v>
      </c>
      <c r="B127">
        <v>2018</v>
      </c>
      <c r="C127" t="s">
        <v>11</v>
      </c>
    </row>
    <row r="128" spans="1:3" x14ac:dyDescent="0.35">
      <c r="A128" t="s">
        <v>183</v>
      </c>
      <c r="B128">
        <v>2019</v>
      </c>
      <c r="C128">
        <v>-1.3613828524680405E-2</v>
      </c>
    </row>
    <row r="129" spans="1:3" x14ac:dyDescent="0.35">
      <c r="A129" t="s">
        <v>183</v>
      </c>
      <c r="B129">
        <v>2020</v>
      </c>
      <c r="C129">
        <v>-0.41526177556904409</v>
      </c>
    </row>
    <row r="130" spans="1:3" x14ac:dyDescent="0.35">
      <c r="A130" t="s">
        <v>183</v>
      </c>
      <c r="B130">
        <v>2021</v>
      </c>
      <c r="C130">
        <v>0.85880815613556361</v>
      </c>
    </row>
    <row r="131" spans="1:3" x14ac:dyDescent="0.35">
      <c r="A131" t="s">
        <v>183</v>
      </c>
      <c r="B131">
        <v>2022</v>
      </c>
      <c r="C131">
        <v>0.21552986657028095</v>
      </c>
    </row>
    <row r="132" spans="1:3" x14ac:dyDescent="0.35">
      <c r="A132" t="s">
        <v>183</v>
      </c>
      <c r="B132">
        <v>2023</v>
      </c>
      <c r="C132">
        <v>0.10897612792214195</v>
      </c>
    </row>
    <row r="133" spans="1:3" x14ac:dyDescent="0.35">
      <c r="A133" t="s">
        <v>183</v>
      </c>
      <c r="B133">
        <v>2024</v>
      </c>
      <c r="C133">
        <v>4.2631255453530192E-2</v>
      </c>
    </row>
    <row r="134" spans="1:3" x14ac:dyDescent="0.35">
      <c r="A134" t="s">
        <v>184</v>
      </c>
      <c r="B134">
        <v>2018</v>
      </c>
      <c r="C134">
        <v>0.37742389974416968</v>
      </c>
    </row>
    <row r="135" spans="1:3" x14ac:dyDescent="0.35">
      <c r="A135" t="s">
        <v>184</v>
      </c>
      <c r="B135">
        <v>2019</v>
      </c>
      <c r="C135">
        <v>0.40415311731400938</v>
      </c>
    </row>
    <row r="136" spans="1:3" x14ac:dyDescent="0.35">
      <c r="A136" t="s">
        <v>184</v>
      </c>
      <c r="B136">
        <v>2020</v>
      </c>
      <c r="C136">
        <v>0.54358161648177505</v>
      </c>
    </row>
    <row r="137" spans="1:3" x14ac:dyDescent="0.35">
      <c r="A137" t="s">
        <v>184</v>
      </c>
      <c r="B137">
        <v>2021</v>
      </c>
      <c r="C137">
        <v>0.42639153495943682</v>
      </c>
    </row>
    <row r="138" spans="1:3" x14ac:dyDescent="0.35">
      <c r="A138" t="s">
        <v>184</v>
      </c>
      <c r="B138">
        <v>2022</v>
      </c>
      <c r="C138">
        <v>0.44867978591524199</v>
      </c>
    </row>
    <row r="139" spans="1:3" x14ac:dyDescent="0.35">
      <c r="A139" t="s">
        <v>184</v>
      </c>
      <c r="B139">
        <v>2023</v>
      </c>
      <c r="C139">
        <v>0.4201169607204554</v>
      </c>
    </row>
    <row r="140" spans="1:3" x14ac:dyDescent="0.35">
      <c r="A140" t="s">
        <v>184</v>
      </c>
      <c r="B140">
        <v>2024</v>
      </c>
      <c r="C140">
        <v>0.12185219107330014</v>
      </c>
    </row>
    <row r="141" spans="1:3" x14ac:dyDescent="0.35">
      <c r="A141" t="s">
        <v>186</v>
      </c>
      <c r="B141">
        <v>2018</v>
      </c>
      <c r="C141" t="s">
        <v>187</v>
      </c>
    </row>
    <row r="142" spans="1:3" x14ac:dyDescent="0.35">
      <c r="A142" t="s">
        <v>186</v>
      </c>
      <c r="B142">
        <v>2019</v>
      </c>
      <c r="C142" t="s">
        <v>188</v>
      </c>
    </row>
    <row r="143" spans="1:3" x14ac:dyDescent="0.35">
      <c r="A143" t="s">
        <v>186</v>
      </c>
      <c r="B143">
        <v>2020</v>
      </c>
      <c r="C143" t="s">
        <v>189</v>
      </c>
    </row>
    <row r="144" spans="1:3" x14ac:dyDescent="0.35">
      <c r="A144" t="s">
        <v>186</v>
      </c>
      <c r="B144">
        <v>2021</v>
      </c>
      <c r="C144" t="s">
        <v>190</v>
      </c>
    </row>
    <row r="145" spans="1:3" x14ac:dyDescent="0.35">
      <c r="A145" t="s">
        <v>186</v>
      </c>
      <c r="B145">
        <v>2022</v>
      </c>
      <c r="C145" t="s">
        <v>191</v>
      </c>
    </row>
    <row r="146" spans="1:3" x14ac:dyDescent="0.35">
      <c r="A146" t="s">
        <v>186</v>
      </c>
      <c r="B146">
        <v>2023</v>
      </c>
      <c r="C146" t="s">
        <v>191</v>
      </c>
    </row>
    <row r="147" spans="1:3" x14ac:dyDescent="0.35">
      <c r="A147" t="s">
        <v>186</v>
      </c>
      <c r="B147">
        <v>2024</v>
      </c>
      <c r="C147" t="s">
        <v>192</v>
      </c>
    </row>
    <row r="148" spans="1:3" x14ac:dyDescent="0.35">
      <c r="A148" t="s">
        <v>193</v>
      </c>
      <c r="B148">
        <v>2018</v>
      </c>
      <c r="C148" t="s">
        <v>194</v>
      </c>
    </row>
    <row r="149" spans="1:3" x14ac:dyDescent="0.35">
      <c r="A149" t="s">
        <v>193</v>
      </c>
      <c r="B149">
        <v>2019</v>
      </c>
      <c r="C149" t="s">
        <v>195</v>
      </c>
    </row>
    <row r="150" spans="1:3" x14ac:dyDescent="0.35">
      <c r="A150" t="s">
        <v>193</v>
      </c>
      <c r="B150">
        <v>2020</v>
      </c>
      <c r="C150" t="s">
        <v>194</v>
      </c>
    </row>
    <row r="151" spans="1:3" x14ac:dyDescent="0.35">
      <c r="A151" t="s">
        <v>193</v>
      </c>
      <c r="B151">
        <v>2021</v>
      </c>
      <c r="C151" t="s">
        <v>196</v>
      </c>
    </row>
    <row r="152" spans="1:3" x14ac:dyDescent="0.35">
      <c r="A152" t="s">
        <v>193</v>
      </c>
      <c r="B152">
        <v>2022</v>
      </c>
      <c r="C152" t="s">
        <v>194</v>
      </c>
    </row>
    <row r="153" spans="1:3" x14ac:dyDescent="0.35">
      <c r="A153" t="s">
        <v>193</v>
      </c>
      <c r="B153">
        <v>2023</v>
      </c>
      <c r="C153" t="s">
        <v>197</v>
      </c>
    </row>
    <row r="154" spans="1:3" x14ac:dyDescent="0.35">
      <c r="A154" t="s">
        <v>193</v>
      </c>
      <c r="B154">
        <v>2024</v>
      </c>
      <c r="C154" t="s">
        <v>198</v>
      </c>
    </row>
    <row r="155" spans="1:3" x14ac:dyDescent="0.35">
      <c r="A155" t="s">
        <v>199</v>
      </c>
      <c r="B155">
        <v>2018</v>
      </c>
      <c r="C155" t="s">
        <v>200</v>
      </c>
    </row>
    <row r="156" spans="1:3" x14ac:dyDescent="0.35">
      <c r="A156" t="s">
        <v>199</v>
      </c>
      <c r="B156">
        <v>2019</v>
      </c>
      <c r="C156" t="s">
        <v>201</v>
      </c>
    </row>
    <row r="157" spans="1:3" x14ac:dyDescent="0.35">
      <c r="A157" t="s">
        <v>199</v>
      </c>
      <c r="B157">
        <v>2020</v>
      </c>
      <c r="C157" t="s">
        <v>202</v>
      </c>
    </row>
    <row r="158" spans="1:3" x14ac:dyDescent="0.35">
      <c r="A158" t="s">
        <v>199</v>
      </c>
      <c r="B158">
        <v>2021</v>
      </c>
      <c r="C158" t="s">
        <v>201</v>
      </c>
    </row>
    <row r="159" spans="1:3" x14ac:dyDescent="0.35">
      <c r="A159" t="s">
        <v>199</v>
      </c>
      <c r="B159">
        <v>2022</v>
      </c>
      <c r="C159" t="s">
        <v>203</v>
      </c>
    </row>
    <row r="160" spans="1:3" x14ac:dyDescent="0.35">
      <c r="A160" t="s">
        <v>199</v>
      </c>
      <c r="B160">
        <v>2023</v>
      </c>
      <c r="C160" t="s">
        <v>204</v>
      </c>
    </row>
    <row r="161" spans="1:3" x14ac:dyDescent="0.35">
      <c r="A161" t="s">
        <v>199</v>
      </c>
      <c r="B161">
        <v>2024</v>
      </c>
      <c r="C161" t="s">
        <v>205</v>
      </c>
    </row>
    <row r="162" spans="1:3" x14ac:dyDescent="0.35">
      <c r="A162" t="s">
        <v>206</v>
      </c>
      <c r="B162">
        <v>2018</v>
      </c>
      <c r="C162" t="s">
        <v>190</v>
      </c>
    </row>
    <row r="163" spans="1:3" x14ac:dyDescent="0.35">
      <c r="A163" t="s">
        <v>206</v>
      </c>
      <c r="B163">
        <v>2019</v>
      </c>
      <c r="C163" t="s">
        <v>207</v>
      </c>
    </row>
    <row r="164" spans="1:3" x14ac:dyDescent="0.35">
      <c r="A164" t="s">
        <v>206</v>
      </c>
      <c r="B164">
        <v>2020</v>
      </c>
      <c r="C164" t="s">
        <v>208</v>
      </c>
    </row>
    <row r="165" spans="1:3" x14ac:dyDescent="0.35">
      <c r="A165" t="s">
        <v>206</v>
      </c>
      <c r="B165">
        <v>2021</v>
      </c>
      <c r="C165" t="s">
        <v>192</v>
      </c>
    </row>
    <row r="166" spans="1:3" x14ac:dyDescent="0.35">
      <c r="A166" t="s">
        <v>206</v>
      </c>
      <c r="B166">
        <v>2022</v>
      </c>
      <c r="C166" t="s">
        <v>208</v>
      </c>
    </row>
    <row r="167" spans="1:3" x14ac:dyDescent="0.35">
      <c r="A167" t="s">
        <v>206</v>
      </c>
      <c r="B167">
        <v>2023</v>
      </c>
      <c r="C167" t="s">
        <v>209</v>
      </c>
    </row>
    <row r="168" spans="1:3" x14ac:dyDescent="0.35">
      <c r="A168" t="s">
        <v>206</v>
      </c>
      <c r="B168">
        <v>2024</v>
      </c>
      <c r="C168" t="s">
        <v>210</v>
      </c>
    </row>
    <row r="169" spans="1:3" x14ac:dyDescent="0.35">
      <c r="A169" t="s">
        <v>211</v>
      </c>
      <c r="B169">
        <v>2018</v>
      </c>
      <c r="C169" t="s">
        <v>212</v>
      </c>
    </row>
    <row r="170" spans="1:3" x14ac:dyDescent="0.35">
      <c r="A170" t="s">
        <v>211</v>
      </c>
      <c r="B170">
        <v>2019</v>
      </c>
      <c r="C170" t="s">
        <v>196</v>
      </c>
    </row>
    <row r="171" spans="1:3" x14ac:dyDescent="0.35">
      <c r="A171" t="s">
        <v>211</v>
      </c>
      <c r="B171">
        <v>2020</v>
      </c>
      <c r="C171" t="s">
        <v>210</v>
      </c>
    </row>
    <row r="172" spans="1:3" x14ac:dyDescent="0.35">
      <c r="A172" t="s">
        <v>211</v>
      </c>
      <c r="B172">
        <v>2021</v>
      </c>
      <c r="C172" t="s">
        <v>210</v>
      </c>
    </row>
    <row r="173" spans="1:3" x14ac:dyDescent="0.35">
      <c r="A173" t="s">
        <v>211</v>
      </c>
      <c r="B173">
        <v>2022</v>
      </c>
      <c r="C173" t="s">
        <v>213</v>
      </c>
    </row>
    <row r="174" spans="1:3" x14ac:dyDescent="0.35">
      <c r="A174" t="s">
        <v>211</v>
      </c>
      <c r="B174">
        <v>2023</v>
      </c>
      <c r="C174" t="s">
        <v>214</v>
      </c>
    </row>
    <row r="175" spans="1:3" x14ac:dyDescent="0.35">
      <c r="A175" t="s">
        <v>211</v>
      </c>
      <c r="B175">
        <v>2024</v>
      </c>
      <c r="C175" t="s">
        <v>215</v>
      </c>
    </row>
    <row r="176" spans="1:3" x14ac:dyDescent="0.35">
      <c r="A176" t="s">
        <v>216</v>
      </c>
      <c r="B176">
        <v>2018</v>
      </c>
      <c r="C176">
        <v>24</v>
      </c>
    </row>
    <row r="177" spans="1:3" x14ac:dyDescent="0.35">
      <c r="A177" t="s">
        <v>216</v>
      </c>
      <c r="B177">
        <v>2019</v>
      </c>
      <c r="C177">
        <v>25</v>
      </c>
    </row>
    <row r="178" spans="1:3" x14ac:dyDescent="0.35">
      <c r="A178" t="s">
        <v>216</v>
      </c>
      <c r="B178">
        <v>2020</v>
      </c>
      <c r="C178">
        <v>22</v>
      </c>
    </row>
    <row r="179" spans="1:3" x14ac:dyDescent="0.35">
      <c r="A179" t="s">
        <v>216</v>
      </c>
      <c r="B179">
        <v>2021</v>
      </c>
      <c r="C179">
        <v>17</v>
      </c>
    </row>
    <row r="180" spans="1:3" x14ac:dyDescent="0.35">
      <c r="A180" t="s">
        <v>216</v>
      </c>
      <c r="B180">
        <v>2022</v>
      </c>
      <c r="C180">
        <v>14</v>
      </c>
    </row>
    <row r="181" spans="1:3" x14ac:dyDescent="0.35">
      <c r="A181" t="s">
        <v>216</v>
      </c>
      <c r="B181">
        <v>2023</v>
      </c>
      <c r="C181">
        <v>14</v>
      </c>
    </row>
    <row r="182" spans="1:3" x14ac:dyDescent="0.35">
      <c r="A182" t="s">
        <v>216</v>
      </c>
      <c r="B182">
        <v>2024</v>
      </c>
      <c r="C182">
        <v>13</v>
      </c>
    </row>
    <row r="183" spans="1:3" x14ac:dyDescent="0.35">
      <c r="A183" t="s">
        <v>217</v>
      </c>
      <c r="B183">
        <v>2018</v>
      </c>
      <c r="C183">
        <v>8</v>
      </c>
    </row>
    <row r="184" spans="1:3" x14ac:dyDescent="0.35">
      <c r="A184" t="s">
        <v>217</v>
      </c>
      <c r="B184">
        <v>2019</v>
      </c>
      <c r="C184">
        <v>8</v>
      </c>
    </row>
    <row r="185" spans="1:3" x14ac:dyDescent="0.35">
      <c r="A185" t="s">
        <v>217</v>
      </c>
      <c r="B185">
        <v>2020</v>
      </c>
      <c r="C185">
        <v>8</v>
      </c>
    </row>
    <row r="186" spans="1:3" x14ac:dyDescent="0.35">
      <c r="A186" t="s">
        <v>217</v>
      </c>
      <c r="B186">
        <v>2021</v>
      </c>
      <c r="C186">
        <v>9</v>
      </c>
    </row>
    <row r="187" spans="1:3" x14ac:dyDescent="0.35">
      <c r="A187" t="s">
        <v>217</v>
      </c>
      <c r="B187">
        <v>2022</v>
      </c>
      <c r="C187">
        <v>8</v>
      </c>
    </row>
    <row r="188" spans="1:3" x14ac:dyDescent="0.35">
      <c r="A188" t="s">
        <v>217</v>
      </c>
      <c r="B188">
        <v>2023</v>
      </c>
      <c r="C188">
        <v>9</v>
      </c>
    </row>
    <row r="189" spans="1:3" x14ac:dyDescent="0.35">
      <c r="A189" t="s">
        <v>217</v>
      </c>
      <c r="B189">
        <v>2024</v>
      </c>
      <c r="C189">
        <v>7</v>
      </c>
    </row>
    <row r="190" spans="1:3" x14ac:dyDescent="0.35">
      <c r="A190" t="s">
        <v>218</v>
      </c>
      <c r="B190">
        <v>2018</v>
      </c>
      <c r="C190">
        <v>17</v>
      </c>
    </row>
    <row r="191" spans="1:3" x14ac:dyDescent="0.35">
      <c r="A191" t="s">
        <v>218</v>
      </c>
      <c r="B191">
        <v>2019</v>
      </c>
      <c r="C191">
        <v>18</v>
      </c>
    </row>
    <row r="192" spans="1:3" x14ac:dyDescent="0.35">
      <c r="A192" t="s">
        <v>218</v>
      </c>
      <c r="B192">
        <v>2020</v>
      </c>
      <c r="C192">
        <v>14</v>
      </c>
    </row>
    <row r="193" spans="1:3" x14ac:dyDescent="0.35">
      <c r="A193" t="s">
        <v>218</v>
      </c>
      <c r="B193">
        <v>2021</v>
      </c>
      <c r="C193">
        <v>13</v>
      </c>
    </row>
    <row r="194" spans="1:3" x14ac:dyDescent="0.35">
      <c r="A194" t="s">
        <v>218</v>
      </c>
      <c r="B194">
        <v>2022</v>
      </c>
      <c r="C194">
        <v>14</v>
      </c>
    </row>
    <row r="195" spans="1:3" x14ac:dyDescent="0.35">
      <c r="A195" t="s">
        <v>218</v>
      </c>
      <c r="B195">
        <v>2023</v>
      </c>
      <c r="C195">
        <v>15</v>
      </c>
    </row>
    <row r="196" spans="1:3" x14ac:dyDescent="0.35">
      <c r="A196" t="s">
        <v>218</v>
      </c>
      <c r="B196">
        <v>2024</v>
      </c>
      <c r="C196">
        <v>11</v>
      </c>
    </row>
    <row r="197" spans="1:3" x14ac:dyDescent="0.35">
      <c r="A197" t="s">
        <v>168</v>
      </c>
      <c r="B197">
        <v>2018</v>
      </c>
      <c r="C197">
        <v>1.2161809915306081</v>
      </c>
    </row>
    <row r="198" spans="1:3" x14ac:dyDescent="0.35">
      <c r="A198" t="s">
        <v>168</v>
      </c>
      <c r="B198">
        <v>2019</v>
      </c>
      <c r="C198">
        <v>1.2468359505745845</v>
      </c>
    </row>
    <row r="199" spans="1:3" x14ac:dyDescent="0.35">
      <c r="A199" t="s">
        <v>168</v>
      </c>
      <c r="B199">
        <v>2020</v>
      </c>
      <c r="C199">
        <v>1.7445239164764124</v>
      </c>
    </row>
    <row r="200" spans="1:3" x14ac:dyDescent="0.35">
      <c r="A200" t="s">
        <v>168</v>
      </c>
      <c r="B200">
        <v>2021</v>
      </c>
      <c r="C200">
        <v>1.6014852825492594</v>
      </c>
    </row>
    <row r="201" spans="1:3" x14ac:dyDescent="0.35">
      <c r="A201" t="s">
        <v>168</v>
      </c>
      <c r="B201">
        <v>2022</v>
      </c>
      <c r="C201">
        <v>1.8619971117445984</v>
      </c>
    </row>
    <row r="202" spans="1:3" x14ac:dyDescent="0.35">
      <c r="A202" t="s">
        <v>168</v>
      </c>
      <c r="B202">
        <v>2023</v>
      </c>
      <c r="C202">
        <v>1.7561093318554342</v>
      </c>
    </row>
    <row r="203" spans="1:3" x14ac:dyDescent="0.35">
      <c r="A203" t="s">
        <v>168</v>
      </c>
      <c r="B203">
        <v>2024</v>
      </c>
      <c r="C203">
        <v>1.6627548206813139</v>
      </c>
    </row>
    <row r="204" spans="1:3" x14ac:dyDescent="0.35">
      <c r="A204" t="s">
        <v>220</v>
      </c>
      <c r="B204">
        <v>2018</v>
      </c>
      <c r="C204">
        <v>1.350094712032043</v>
      </c>
    </row>
    <row r="205" spans="1:3" x14ac:dyDescent="0.35">
      <c r="A205" t="s">
        <v>220</v>
      </c>
      <c r="B205">
        <v>2019</v>
      </c>
      <c r="C205">
        <v>1.3216252194547877</v>
      </c>
    </row>
    <row r="206" spans="1:3" x14ac:dyDescent="0.35">
      <c r="A206" t="s">
        <v>220</v>
      </c>
      <c r="B206">
        <v>2020</v>
      </c>
      <c r="C206">
        <v>1.1771718530292843</v>
      </c>
    </row>
    <row r="207" spans="1:3" x14ac:dyDescent="0.35">
      <c r="A207" t="s">
        <v>220</v>
      </c>
      <c r="B207">
        <v>2021</v>
      </c>
      <c r="C207">
        <v>1.1383390828775768</v>
      </c>
    </row>
    <row r="208" spans="1:3" x14ac:dyDescent="0.35">
      <c r="A208" t="s">
        <v>220</v>
      </c>
      <c r="B208">
        <v>2022</v>
      </c>
      <c r="C208">
        <v>0.8892901986101861</v>
      </c>
    </row>
    <row r="209" spans="1:3" x14ac:dyDescent="0.35">
      <c r="A209" t="s">
        <v>220</v>
      </c>
      <c r="B209">
        <v>2023</v>
      </c>
      <c r="C209">
        <v>0.85422002865620106</v>
      </c>
    </row>
    <row r="210" spans="1:3" x14ac:dyDescent="0.35">
      <c r="A210" t="s">
        <v>220</v>
      </c>
      <c r="B210">
        <v>2024</v>
      </c>
      <c r="C210">
        <v>0.6251135036969776</v>
      </c>
    </row>
    <row r="211" spans="1:3" x14ac:dyDescent="0.35">
      <c r="A211" t="s">
        <v>221</v>
      </c>
      <c r="B211">
        <v>2018</v>
      </c>
      <c r="C211">
        <v>0.95340312622004986</v>
      </c>
    </row>
    <row r="212" spans="1:3" x14ac:dyDescent="0.35">
      <c r="A212" t="s">
        <v>221</v>
      </c>
      <c r="B212">
        <v>2019</v>
      </c>
      <c r="C212">
        <v>0.86915285628846506</v>
      </c>
    </row>
    <row r="213" spans="1:3" x14ac:dyDescent="0.35">
      <c r="A213" t="s">
        <v>221</v>
      </c>
      <c r="B213">
        <v>2020</v>
      </c>
      <c r="C213">
        <v>0.68425051747176846</v>
      </c>
    </row>
    <row r="214" spans="1:3" x14ac:dyDescent="0.35">
      <c r="A214" t="s">
        <v>221</v>
      </c>
      <c r="B214">
        <v>2021</v>
      </c>
      <c r="C214">
        <v>0.75015229280605811</v>
      </c>
    </row>
    <row r="215" spans="1:3" x14ac:dyDescent="0.35">
      <c r="A215" t="s">
        <v>221</v>
      </c>
      <c r="B215">
        <v>2022</v>
      </c>
      <c r="C215">
        <v>0.55636269361570168</v>
      </c>
    </row>
    <row r="216" spans="1:3" x14ac:dyDescent="0.35">
      <c r="A216" t="s">
        <v>221</v>
      </c>
      <c r="B216">
        <v>2023</v>
      </c>
      <c r="C216">
        <v>0.56500042906290071</v>
      </c>
    </row>
    <row r="217" spans="1:3" x14ac:dyDescent="0.35">
      <c r="A217" t="s">
        <v>221</v>
      </c>
      <c r="B217">
        <v>2024</v>
      </c>
      <c r="C217">
        <v>0.38666898026088586</v>
      </c>
    </row>
    <row r="218" spans="1:3" x14ac:dyDescent="0.35">
      <c r="A218" t="s">
        <v>222</v>
      </c>
      <c r="B218">
        <v>2018</v>
      </c>
      <c r="C218">
        <v>0.73847549778041266</v>
      </c>
    </row>
    <row r="219" spans="1:3" x14ac:dyDescent="0.35">
      <c r="A219" t="s">
        <v>222</v>
      </c>
      <c r="B219">
        <v>2019</v>
      </c>
      <c r="C219">
        <v>0.64891478401790381</v>
      </c>
    </row>
    <row r="220" spans="1:3" x14ac:dyDescent="0.35">
      <c r="A220" t="s">
        <v>222</v>
      </c>
      <c r="B220">
        <v>2020</v>
      </c>
      <c r="C220">
        <v>0.38373260901841949</v>
      </c>
    </row>
    <row r="221" spans="1:3" x14ac:dyDescent="0.35">
      <c r="A221" t="s">
        <v>222</v>
      </c>
      <c r="B221">
        <v>2021</v>
      </c>
      <c r="C221">
        <v>0.42971813209928483</v>
      </c>
    </row>
    <row r="222" spans="1:3" x14ac:dyDescent="0.35">
      <c r="A222" t="s">
        <v>222</v>
      </c>
      <c r="B222">
        <v>2022</v>
      </c>
      <c r="C222">
        <v>0.22605570438752109</v>
      </c>
    </row>
    <row r="223" spans="1:3" x14ac:dyDescent="0.35">
      <c r="A223" t="s">
        <v>222</v>
      </c>
      <c r="B223">
        <v>2023</v>
      </c>
      <c r="C223">
        <v>0.22662582334570244</v>
      </c>
    </row>
    <row r="224" spans="1:3" x14ac:dyDescent="0.35">
      <c r="A224" t="s">
        <v>222</v>
      </c>
      <c r="B224">
        <v>2024</v>
      </c>
      <c r="C224">
        <v>0.15614065529748497</v>
      </c>
    </row>
    <row r="225" spans="1:3" x14ac:dyDescent="0.35">
      <c r="A225" t="s">
        <v>223</v>
      </c>
      <c r="B225">
        <v>2018</v>
      </c>
      <c r="C225">
        <v>54770024.261549681</v>
      </c>
    </row>
    <row r="226" spans="1:3" x14ac:dyDescent="0.35">
      <c r="A226" t="s">
        <v>223</v>
      </c>
      <c r="B226">
        <v>2019</v>
      </c>
      <c r="C226">
        <v>43259654.458359092</v>
      </c>
    </row>
    <row r="227" spans="1:3" x14ac:dyDescent="0.35">
      <c r="A227" t="s">
        <v>223</v>
      </c>
      <c r="B227">
        <v>2020</v>
      </c>
      <c r="C227">
        <v>16958277.254374176</v>
      </c>
    </row>
    <row r="228" spans="1:3" x14ac:dyDescent="0.35">
      <c r="A228" t="s">
        <v>223</v>
      </c>
      <c r="B228">
        <v>2021</v>
      </c>
      <c r="C228">
        <v>13051084.785694107</v>
      </c>
    </row>
    <row r="229" spans="1:3" x14ac:dyDescent="0.35">
      <c r="A229" t="s">
        <v>223</v>
      </c>
      <c r="B229">
        <v>2022</v>
      </c>
      <c r="C229">
        <v>-14515564.649699584</v>
      </c>
    </row>
    <row r="230" spans="1:3" x14ac:dyDescent="0.35">
      <c r="A230" t="s">
        <v>223</v>
      </c>
      <c r="B230">
        <v>2023</v>
      </c>
      <c r="C230">
        <v>-18787198.391420901</v>
      </c>
    </row>
    <row r="231" spans="1:3" x14ac:dyDescent="0.35">
      <c r="A231" t="s">
        <v>223</v>
      </c>
      <c r="B231">
        <v>2024</v>
      </c>
      <c r="C231">
        <v>-68476036.61820139</v>
      </c>
    </row>
    <row r="232" spans="1:3" x14ac:dyDescent="0.35">
      <c r="A232" t="s">
        <v>224</v>
      </c>
      <c r="B232">
        <v>2018</v>
      </c>
      <c r="C232">
        <v>67738359.828755304</v>
      </c>
    </row>
    <row r="233" spans="1:3" x14ac:dyDescent="0.35">
      <c r="A233" t="s">
        <v>224</v>
      </c>
      <c r="B233">
        <v>2019</v>
      </c>
      <c r="C233">
        <v>65558456.11704199</v>
      </c>
    </row>
    <row r="234" spans="1:3" x14ac:dyDescent="0.35">
      <c r="A234" t="s">
        <v>224</v>
      </c>
      <c r="B234">
        <v>2020</v>
      </c>
      <c r="C234">
        <v>48266219.706912547</v>
      </c>
    </row>
    <row r="235" spans="1:3" x14ac:dyDescent="0.35">
      <c r="A235" t="s">
        <v>224</v>
      </c>
      <c r="B235">
        <v>2021</v>
      </c>
      <c r="C235">
        <v>43055815.740426175</v>
      </c>
    </row>
    <row r="236" spans="1:3" x14ac:dyDescent="0.35">
      <c r="A236" t="s">
        <v>224</v>
      </c>
      <c r="B236">
        <v>2022</v>
      </c>
      <c r="C236">
        <v>61577426.675686762</v>
      </c>
    </row>
    <row r="237" spans="1:3" x14ac:dyDescent="0.35">
      <c r="A237" t="s">
        <v>224</v>
      </c>
      <c r="B237">
        <v>2023</v>
      </c>
      <c r="C237">
        <v>58423592.493297592</v>
      </c>
    </row>
    <row r="238" spans="1:3" x14ac:dyDescent="0.35">
      <c r="A238" t="s">
        <v>224</v>
      </c>
      <c r="B238">
        <v>2024</v>
      </c>
      <c r="C238">
        <v>56401877.067466736</v>
      </c>
    </row>
    <row r="239" spans="1:3" x14ac:dyDescent="0.35">
      <c r="A239" t="s">
        <v>225</v>
      </c>
      <c r="B239">
        <v>2018</v>
      </c>
      <c r="C239" t="s">
        <v>11</v>
      </c>
    </row>
    <row r="240" spans="1:3" x14ac:dyDescent="0.35">
      <c r="A240" t="s">
        <v>225</v>
      </c>
      <c r="B240">
        <v>2019</v>
      </c>
      <c r="C240">
        <v>-3.2181229619733576E-2</v>
      </c>
    </row>
    <row r="241" spans="1:3" x14ac:dyDescent="0.35">
      <c r="A241" t="s">
        <v>225</v>
      </c>
      <c r="B241">
        <v>2020</v>
      </c>
      <c r="C241">
        <v>-0.26376820679330037</v>
      </c>
    </row>
    <row r="242" spans="1:3" x14ac:dyDescent="0.35">
      <c r="A242" t="s">
        <v>225</v>
      </c>
      <c r="B242">
        <v>2021</v>
      </c>
      <c r="C242">
        <v>-0.10795135807456147</v>
      </c>
    </row>
    <row r="243" spans="1:3" x14ac:dyDescent="0.35">
      <c r="A243" t="s">
        <v>225</v>
      </c>
      <c r="B243">
        <v>2022</v>
      </c>
      <c r="C243">
        <v>0.43017675119484933</v>
      </c>
    </row>
    <row r="244" spans="1:3" x14ac:dyDescent="0.35">
      <c r="A244" t="s">
        <v>225</v>
      </c>
      <c r="B244">
        <v>2023</v>
      </c>
      <c r="C244">
        <v>-5.121737546779348E-2</v>
      </c>
    </row>
    <row r="245" spans="1:3" x14ac:dyDescent="0.35">
      <c r="A245" t="s">
        <v>225</v>
      </c>
      <c r="B245">
        <v>2024</v>
      </c>
      <c r="C245">
        <v>-3.4604435289781077E-2</v>
      </c>
    </row>
    <row r="246" spans="1:3" x14ac:dyDescent="0.35">
      <c r="A246" t="s">
        <v>226</v>
      </c>
      <c r="B246">
        <v>2018</v>
      </c>
      <c r="C246" t="s">
        <v>11</v>
      </c>
    </row>
    <row r="247" spans="1:3" x14ac:dyDescent="0.35">
      <c r="A247" t="s">
        <v>226</v>
      </c>
      <c r="B247">
        <v>2019</v>
      </c>
      <c r="C247">
        <v>0.54637424685984215</v>
      </c>
    </row>
    <row r="248" spans="1:3" x14ac:dyDescent="0.35">
      <c r="A248" t="s">
        <v>226</v>
      </c>
      <c r="B248">
        <v>2020</v>
      </c>
      <c r="C248">
        <v>7.4662669896756684E-2</v>
      </c>
    </row>
    <row r="249" spans="1:3" x14ac:dyDescent="0.35">
      <c r="A249" t="s">
        <v>226</v>
      </c>
      <c r="B249">
        <v>2021</v>
      </c>
      <c r="C249">
        <v>0.26716555084546878</v>
      </c>
    </row>
    <row r="250" spans="1:3" x14ac:dyDescent="0.35">
      <c r="A250" t="s">
        <v>226</v>
      </c>
      <c r="B250">
        <v>2022</v>
      </c>
      <c r="C250">
        <v>0.22795618817496141</v>
      </c>
    </row>
    <row r="251" spans="1:3" x14ac:dyDescent="0.35">
      <c r="A251" t="s">
        <v>226</v>
      </c>
      <c r="B251">
        <v>2023</v>
      </c>
      <c r="C251">
        <v>0.25840193737474054</v>
      </c>
    </row>
    <row r="252" spans="1:3" x14ac:dyDescent="0.35">
      <c r="A252" t="s">
        <v>226</v>
      </c>
      <c r="B252">
        <v>2024</v>
      </c>
      <c r="C252">
        <v>-5.4991173195893667E-2</v>
      </c>
    </row>
    <row r="253" spans="1:3" x14ac:dyDescent="0.35">
      <c r="A253" t="s">
        <v>167</v>
      </c>
      <c r="B253">
        <v>2018</v>
      </c>
      <c r="C253">
        <v>2.3692579904165793E-2</v>
      </c>
    </row>
    <row r="254" spans="1:3" x14ac:dyDescent="0.35">
      <c r="A254" t="s">
        <v>167</v>
      </c>
      <c r="B254">
        <v>2019</v>
      </c>
      <c r="C254">
        <v>2.5234716348002378E-2</v>
      </c>
    </row>
    <row r="255" spans="1:3" x14ac:dyDescent="0.35">
      <c r="A255" t="s">
        <v>167</v>
      </c>
      <c r="B255">
        <v>2020</v>
      </c>
      <c r="C255">
        <v>1.7392654709216554E-2</v>
      </c>
    </row>
    <row r="256" spans="1:3" x14ac:dyDescent="0.35">
      <c r="A256" t="s">
        <v>167</v>
      </c>
      <c r="B256">
        <v>2021</v>
      </c>
      <c r="C256">
        <v>3.9425141719644383E-2</v>
      </c>
    </row>
    <row r="257" spans="1:3" x14ac:dyDescent="0.35">
      <c r="A257" t="s">
        <v>167</v>
      </c>
      <c r="B257">
        <v>2022</v>
      </c>
      <c r="C257">
        <v>4.1620177632474824E-2</v>
      </c>
    </row>
    <row r="258" spans="1:3" x14ac:dyDescent="0.35">
      <c r="A258" t="s">
        <v>167</v>
      </c>
      <c r="B258">
        <v>2023</v>
      </c>
      <c r="C258">
        <v>4.5749520190002523E-2</v>
      </c>
    </row>
    <row r="259" spans="1:3" x14ac:dyDescent="0.35">
      <c r="A259" t="s">
        <v>167</v>
      </c>
      <c r="B259">
        <v>2024</v>
      </c>
      <c r="C259">
        <v>5.1839972887719819E-2</v>
      </c>
    </row>
    <row r="260" spans="1:3" x14ac:dyDescent="0.35">
      <c r="A260" t="s">
        <v>168</v>
      </c>
      <c r="B260">
        <v>2018</v>
      </c>
      <c r="C260">
        <v>2.8814465319766516E-2</v>
      </c>
    </row>
    <row r="261" spans="1:3" x14ac:dyDescent="0.35">
      <c r="A261" t="s">
        <v>168</v>
      </c>
      <c r="B261">
        <v>2019</v>
      </c>
      <c r="C261">
        <v>3.1463551545241546E-2</v>
      </c>
    </row>
    <row r="262" spans="1:3" x14ac:dyDescent="0.35">
      <c r="A262" t="s">
        <v>168</v>
      </c>
      <c r="B262">
        <v>2020</v>
      </c>
      <c r="C262">
        <v>3.0341902111244382E-2</v>
      </c>
    </row>
    <row r="263" spans="1:3" x14ac:dyDescent="0.35">
      <c r="A263" t="s">
        <v>168</v>
      </c>
      <c r="B263">
        <v>2021</v>
      </c>
      <c r="C263">
        <v>6.3138784226429281E-2</v>
      </c>
    </row>
    <row r="264" spans="1:3" x14ac:dyDescent="0.35">
      <c r="A264" t="s">
        <v>168</v>
      </c>
      <c r="B264">
        <v>2022</v>
      </c>
      <c r="C264">
        <v>7.7496650541965265E-2</v>
      </c>
    </row>
    <row r="265" spans="1:3" x14ac:dyDescent="0.35">
      <c r="A265" t="s">
        <v>168</v>
      </c>
      <c r="B265">
        <v>2023</v>
      </c>
      <c r="C265">
        <v>8.0341159333572013E-2</v>
      </c>
    </row>
    <row r="266" spans="1:3" x14ac:dyDescent="0.35">
      <c r="A266" t="s">
        <v>168</v>
      </c>
      <c r="B266">
        <v>2024</v>
      </c>
      <c r="C266">
        <v>8.6197164823044736E-2</v>
      </c>
    </row>
    <row r="267" spans="1:3" x14ac:dyDescent="0.35">
      <c r="A267" t="s">
        <v>228</v>
      </c>
      <c r="B267">
        <v>2018</v>
      </c>
      <c r="C267">
        <v>0.10790342895332099</v>
      </c>
    </row>
    <row r="268" spans="1:3" x14ac:dyDescent="0.35">
      <c r="A268" t="s">
        <v>228</v>
      </c>
      <c r="B268">
        <v>2019</v>
      </c>
      <c r="C268">
        <v>0.12115404624374462</v>
      </c>
    </row>
    <row r="269" spans="1:3" x14ac:dyDescent="0.35">
      <c r="A269" t="s">
        <v>228</v>
      </c>
      <c r="B269">
        <v>2020</v>
      </c>
      <c r="C269">
        <v>5.9985854983829363E-2</v>
      </c>
    </row>
    <row r="270" spans="1:3" x14ac:dyDescent="0.35">
      <c r="A270" t="s">
        <v>228</v>
      </c>
      <c r="B270">
        <v>2021</v>
      </c>
      <c r="C270">
        <v>0.1423782247679943</v>
      </c>
    </row>
    <row r="271" spans="1:3" x14ac:dyDescent="0.35">
      <c r="A271" t="s">
        <v>228</v>
      </c>
      <c r="B271">
        <v>2022</v>
      </c>
      <c r="C271">
        <v>0.16439126315882671</v>
      </c>
    </row>
    <row r="272" spans="1:3" x14ac:dyDescent="0.35">
      <c r="A272" t="s">
        <v>228</v>
      </c>
      <c r="B272">
        <v>2023</v>
      </c>
      <c r="C272">
        <v>0.16347520278469693</v>
      </c>
    </row>
    <row r="273" spans="1:3" x14ac:dyDescent="0.35">
      <c r="A273" t="s">
        <v>228</v>
      </c>
      <c r="B273">
        <v>2024</v>
      </c>
      <c r="C273">
        <v>0.19509872202596226</v>
      </c>
    </row>
    <row r="274" spans="1:3" x14ac:dyDescent="0.35">
      <c r="A274" t="s">
        <v>171</v>
      </c>
      <c r="B274">
        <v>2018</v>
      </c>
      <c r="C274">
        <v>6.2683619720991332E-2</v>
      </c>
    </row>
    <row r="275" spans="1:3" x14ac:dyDescent="0.35">
      <c r="A275" t="s">
        <v>171</v>
      </c>
      <c r="B275">
        <v>2019</v>
      </c>
      <c r="C275">
        <v>7.6531012477075888E-2</v>
      </c>
    </row>
    <row r="276" spans="1:3" x14ac:dyDescent="0.35">
      <c r="A276" t="s">
        <v>171</v>
      </c>
      <c r="B276">
        <v>2020</v>
      </c>
      <c r="C276">
        <v>0.16614682388740964</v>
      </c>
    </row>
    <row r="277" spans="1:3" x14ac:dyDescent="0.35">
      <c r="A277" t="s">
        <v>171</v>
      </c>
      <c r="B277">
        <v>2021</v>
      </c>
      <c r="C277">
        <v>0.37078151469423382</v>
      </c>
    </row>
    <row r="278" spans="1:3" x14ac:dyDescent="0.35">
      <c r="A278" t="s">
        <v>171</v>
      </c>
      <c r="B278">
        <v>2022</v>
      </c>
      <c r="C278">
        <v>1.2030063009216514</v>
      </c>
    </row>
    <row r="279" spans="1:3" x14ac:dyDescent="0.35">
      <c r="A279" t="s">
        <v>171</v>
      </c>
      <c r="B279">
        <v>2023</v>
      </c>
      <c r="C279">
        <v>0.56570868126782836</v>
      </c>
    </row>
    <row r="280" spans="1:3" x14ac:dyDescent="0.35">
      <c r="A280" t="s">
        <v>171</v>
      </c>
      <c r="B280">
        <v>2024</v>
      </c>
      <c r="C280">
        <v>0.56567118788394866</v>
      </c>
    </row>
    <row r="281" spans="1:3" x14ac:dyDescent="0.35">
      <c r="A281" t="s">
        <v>76</v>
      </c>
      <c r="B281">
        <v>2018</v>
      </c>
      <c r="C281" t="s">
        <v>11</v>
      </c>
    </row>
    <row r="282" spans="1:3" x14ac:dyDescent="0.35">
      <c r="A282" t="s">
        <v>76</v>
      </c>
      <c r="B282">
        <v>2019</v>
      </c>
      <c r="C282">
        <v>15571171.302086847</v>
      </c>
    </row>
    <row r="283" spans="1:3" x14ac:dyDescent="0.35">
      <c r="A283" t="s">
        <v>76</v>
      </c>
      <c r="B283">
        <v>2020</v>
      </c>
      <c r="C283">
        <v>12540648.53748861</v>
      </c>
    </row>
    <row r="284" spans="1:3" x14ac:dyDescent="0.35">
      <c r="A284" t="s">
        <v>76</v>
      </c>
      <c r="B284">
        <v>2021</v>
      </c>
      <c r="C284">
        <v>11621002.898900449</v>
      </c>
    </row>
    <row r="285" spans="1:3" x14ac:dyDescent="0.35">
      <c r="A285" t="s">
        <v>76</v>
      </c>
      <c r="B285">
        <v>2022</v>
      </c>
      <c r="C285">
        <v>13546793.925437646</v>
      </c>
    </row>
    <row r="286" spans="1:3" x14ac:dyDescent="0.35">
      <c r="A286" t="s">
        <v>76</v>
      </c>
      <c r="B286">
        <v>2023</v>
      </c>
      <c r="C286">
        <v>15013069.705093835</v>
      </c>
    </row>
    <row r="287" spans="1:3" x14ac:dyDescent="0.35">
      <c r="A287" t="s">
        <v>76</v>
      </c>
      <c r="B287">
        <v>2024</v>
      </c>
      <c r="C287">
        <v>14783598.73836449</v>
      </c>
    </row>
    <row r="288" spans="1:3" x14ac:dyDescent="0.35">
      <c r="A288" t="s">
        <v>229</v>
      </c>
      <c r="B288">
        <v>2018</v>
      </c>
      <c r="C288" t="s">
        <v>11</v>
      </c>
    </row>
    <row r="289" spans="1:3" x14ac:dyDescent="0.35">
      <c r="A289" t="s">
        <v>229</v>
      </c>
      <c r="B289">
        <v>2019</v>
      </c>
      <c r="C289" t="s">
        <v>11</v>
      </c>
    </row>
    <row r="290" spans="1:3" x14ac:dyDescent="0.35">
      <c r="A290" t="s">
        <v>229</v>
      </c>
      <c r="B290">
        <v>2020</v>
      </c>
      <c r="C290">
        <v>-0.1946239435560051</v>
      </c>
    </row>
    <row r="291" spans="1:3" x14ac:dyDescent="0.35">
      <c r="A291" t="s">
        <v>229</v>
      </c>
      <c r="B291">
        <v>2021</v>
      </c>
      <c r="C291">
        <v>-7.3333180165204515E-2</v>
      </c>
    </row>
    <row r="292" spans="1:3" x14ac:dyDescent="0.35">
      <c r="A292" t="s">
        <v>229</v>
      </c>
      <c r="B292">
        <v>2022</v>
      </c>
      <c r="C292">
        <v>0.1657164225231722</v>
      </c>
    </row>
    <row r="293" spans="1:3" x14ac:dyDescent="0.35">
      <c r="A293" t="s">
        <v>229</v>
      </c>
      <c r="B293">
        <v>2023</v>
      </c>
      <c r="C293">
        <v>0.10823784488984312</v>
      </c>
    </row>
    <row r="294" spans="1:3" x14ac:dyDescent="0.35">
      <c r="A294" t="s">
        <v>229</v>
      </c>
      <c r="B294">
        <v>2024</v>
      </c>
      <c r="C294">
        <v>-1.5284746639888547E-2</v>
      </c>
    </row>
    <row r="295" spans="1:3" x14ac:dyDescent="0.35">
      <c r="A295" t="s">
        <v>230</v>
      </c>
      <c r="B295">
        <v>2018</v>
      </c>
      <c r="C295" t="s">
        <v>11</v>
      </c>
    </row>
    <row r="296" spans="1:3" x14ac:dyDescent="0.35">
      <c r="A296" t="s">
        <v>230</v>
      </c>
      <c r="B296">
        <v>2019</v>
      </c>
      <c r="C296">
        <v>0.81986160353419979</v>
      </c>
    </row>
    <row r="297" spans="1:3" x14ac:dyDescent="0.35">
      <c r="A297" t="s">
        <v>230</v>
      </c>
      <c r="B297">
        <v>2020</v>
      </c>
      <c r="C297">
        <v>0.66941013994207765</v>
      </c>
    </row>
    <row r="298" spans="1:3" x14ac:dyDescent="0.35">
      <c r="A298" t="s">
        <v>230</v>
      </c>
      <c r="B298">
        <v>2021</v>
      </c>
      <c r="C298">
        <v>1.060851060573236</v>
      </c>
    </row>
    <row r="299" spans="1:3" x14ac:dyDescent="0.35">
      <c r="A299" t="s">
        <v>230</v>
      </c>
      <c r="B299">
        <v>2022</v>
      </c>
      <c r="C299">
        <v>0.66529270332680657</v>
      </c>
    </row>
    <row r="300" spans="1:3" x14ac:dyDescent="0.35">
      <c r="A300" t="s">
        <v>230</v>
      </c>
      <c r="B300">
        <v>2023</v>
      </c>
      <c r="C300">
        <v>0.60656884872454719</v>
      </c>
    </row>
    <row r="301" spans="1:3" x14ac:dyDescent="0.35">
      <c r="A301" t="s">
        <v>230</v>
      </c>
      <c r="B301">
        <v>2024</v>
      </c>
      <c r="C301">
        <v>0.53860275484133613</v>
      </c>
    </row>
    <row r="302" spans="1:3" x14ac:dyDescent="0.35">
      <c r="A302" t="s">
        <v>22</v>
      </c>
      <c r="B302">
        <v>2018</v>
      </c>
      <c r="C302">
        <v>19480497.446599141</v>
      </c>
    </row>
    <row r="303" spans="1:3" x14ac:dyDescent="0.35">
      <c r="A303" t="s">
        <v>22</v>
      </c>
      <c r="B303">
        <v>2019</v>
      </c>
      <c r="C303">
        <v>17364790.874130048</v>
      </c>
    </row>
    <row r="304" spans="1:3" x14ac:dyDescent="0.35">
      <c r="A304" t="s">
        <v>22</v>
      </c>
      <c r="B304">
        <v>2020</v>
      </c>
      <c r="C304">
        <v>15168069.685595579</v>
      </c>
    </row>
    <row r="305" spans="1:3" x14ac:dyDescent="0.35">
      <c r="A305" t="s">
        <v>22</v>
      </c>
      <c r="B305">
        <v>2021</v>
      </c>
      <c r="C305">
        <v>13083153.673475219</v>
      </c>
    </row>
    <row r="306" spans="1:3" x14ac:dyDescent="0.35">
      <c r="A306" t="s">
        <v>22</v>
      </c>
      <c r="B306">
        <v>2022</v>
      </c>
      <c r="C306">
        <v>17766128.682878386</v>
      </c>
    </row>
    <row r="307" spans="1:3" x14ac:dyDescent="0.35">
      <c r="A307" t="s">
        <v>22</v>
      </c>
      <c r="B307">
        <v>2023</v>
      </c>
      <c r="C307">
        <v>16773123.324396782</v>
      </c>
    </row>
    <row r="308" spans="1:3" x14ac:dyDescent="0.35">
      <c r="A308" t="s">
        <v>22</v>
      </c>
      <c r="B308">
        <v>2024</v>
      </c>
      <c r="C308">
        <v>13685975.844295716</v>
      </c>
    </row>
    <row r="309" spans="1:3" x14ac:dyDescent="0.35">
      <c r="A309" t="s">
        <v>232</v>
      </c>
      <c r="B309">
        <v>2018</v>
      </c>
      <c r="C309">
        <v>227837441.96173573</v>
      </c>
    </row>
    <row r="310" spans="1:3" x14ac:dyDescent="0.35">
      <c r="A310" t="s">
        <v>232</v>
      </c>
      <c r="B310">
        <v>2019</v>
      </c>
      <c r="C310">
        <v>231283507.10752895</v>
      </c>
    </row>
    <row r="311" spans="1:3" x14ac:dyDescent="0.35">
      <c r="A311" t="s">
        <v>232</v>
      </c>
      <c r="B311">
        <v>2020</v>
      </c>
      <c r="C311">
        <v>194077643.93135098</v>
      </c>
    </row>
    <row r="312" spans="1:3" x14ac:dyDescent="0.35">
      <c r="A312" t="s">
        <v>232</v>
      </c>
      <c r="B312">
        <v>2021</v>
      </c>
      <c r="C312">
        <v>170562666.09937546</v>
      </c>
    </row>
    <row r="313" spans="1:3" x14ac:dyDescent="0.35">
      <c r="A313" t="s">
        <v>232</v>
      </c>
      <c r="B313">
        <v>2022</v>
      </c>
      <c r="C313">
        <v>170416668.05522692</v>
      </c>
    </row>
    <row r="314" spans="1:3" x14ac:dyDescent="0.35">
      <c r="A314" t="s">
        <v>232</v>
      </c>
      <c r="B314">
        <v>2023</v>
      </c>
      <c r="C314">
        <v>172054959.78552282</v>
      </c>
    </row>
    <row r="315" spans="1:3" x14ac:dyDescent="0.35">
      <c r="A315" t="s">
        <v>232</v>
      </c>
      <c r="B315">
        <v>2024</v>
      </c>
      <c r="C315">
        <v>149171167.01284716</v>
      </c>
    </row>
    <row r="316" spans="1:3" x14ac:dyDescent="0.35">
      <c r="A316" t="s">
        <v>233</v>
      </c>
      <c r="B316">
        <v>2018</v>
      </c>
      <c r="C316" t="s">
        <v>11</v>
      </c>
    </row>
    <row r="317" spans="1:3" x14ac:dyDescent="0.35">
      <c r="A317" t="s">
        <v>233</v>
      </c>
      <c r="B317">
        <v>2019</v>
      </c>
      <c r="C317">
        <v>1.5125104618985308E-2</v>
      </c>
    </row>
    <row r="318" spans="1:3" x14ac:dyDescent="0.35">
      <c r="A318" t="s">
        <v>233</v>
      </c>
      <c r="B318">
        <v>2020</v>
      </c>
      <c r="C318">
        <v>-0.16086691023273059</v>
      </c>
    </row>
    <row r="319" spans="1:3" x14ac:dyDescent="0.35">
      <c r="A319" t="s">
        <v>233</v>
      </c>
      <c r="B319">
        <v>2021</v>
      </c>
      <c r="C319">
        <v>-0.12116273340732242</v>
      </c>
    </row>
    <row r="320" spans="1:3" x14ac:dyDescent="0.35">
      <c r="A320" t="s">
        <v>233</v>
      </c>
      <c r="B320">
        <v>2022</v>
      </c>
      <c r="C320">
        <v>-8.5597890492328244E-4</v>
      </c>
    </row>
    <row r="321" spans="1:3" x14ac:dyDescent="0.35">
      <c r="A321" t="s">
        <v>233</v>
      </c>
      <c r="B321">
        <v>2023</v>
      </c>
      <c r="C321">
        <v>9.613447727806701E-3</v>
      </c>
    </row>
    <row r="322" spans="1:3" x14ac:dyDescent="0.35">
      <c r="A322" t="s">
        <v>233</v>
      </c>
      <c r="B322">
        <v>2024</v>
      </c>
      <c r="C322">
        <v>-0.13300280794695907</v>
      </c>
    </row>
    <row r="323" spans="1:3" x14ac:dyDescent="0.35">
      <c r="A323" t="s">
        <v>234</v>
      </c>
      <c r="B323">
        <v>2018</v>
      </c>
      <c r="C323">
        <v>2.7022590987752033</v>
      </c>
    </row>
    <row r="324" spans="1:3" x14ac:dyDescent="0.35">
      <c r="A324" t="s">
        <v>234</v>
      </c>
      <c r="B324">
        <v>2019</v>
      </c>
      <c r="C324">
        <v>2.7186842281858721</v>
      </c>
    </row>
    <row r="325" spans="1:3" x14ac:dyDescent="0.35">
      <c r="A325" t="s">
        <v>234</v>
      </c>
      <c r="B325">
        <v>2020</v>
      </c>
      <c r="C325">
        <v>2.5868153050764366</v>
      </c>
    </row>
    <row r="326" spans="1:3" x14ac:dyDescent="0.35">
      <c r="A326" t="s">
        <v>234</v>
      </c>
      <c r="B326">
        <v>2021</v>
      </c>
      <c r="C326">
        <v>2.3272464182512138</v>
      </c>
    </row>
    <row r="327" spans="1:3" x14ac:dyDescent="0.35">
      <c r="A327" t="s">
        <v>234</v>
      </c>
      <c r="B327">
        <v>2022</v>
      </c>
      <c r="C327">
        <v>1.9287266061689559</v>
      </c>
    </row>
    <row r="328" spans="1:3" x14ac:dyDescent="0.35">
      <c r="A328" t="s">
        <v>234</v>
      </c>
      <c r="B328">
        <v>2023</v>
      </c>
      <c r="C328">
        <v>1.9145305519715401</v>
      </c>
    </row>
    <row r="329" spans="1:3" x14ac:dyDescent="0.35">
      <c r="A329" t="s">
        <v>234</v>
      </c>
      <c r="B329">
        <v>2024</v>
      </c>
      <c r="C329">
        <v>1.8324078729025943</v>
      </c>
    </row>
    <row r="330" spans="1:3" x14ac:dyDescent="0.35">
      <c r="A330" t="s">
        <v>235</v>
      </c>
      <c r="B330">
        <v>2018</v>
      </c>
      <c r="C330">
        <v>0.28422136120690139</v>
      </c>
    </row>
    <row r="331" spans="1:3" x14ac:dyDescent="0.35">
      <c r="A331" t="s">
        <v>235</v>
      </c>
      <c r="B331">
        <v>2019</v>
      </c>
      <c r="C331">
        <v>0.31154112342269913</v>
      </c>
    </row>
    <row r="332" spans="1:3" x14ac:dyDescent="0.35">
      <c r="A332" t="s">
        <v>235</v>
      </c>
      <c r="B332">
        <v>2020</v>
      </c>
      <c r="C332">
        <v>0.30814291867168642</v>
      </c>
    </row>
    <row r="333" spans="1:3" x14ac:dyDescent="0.35">
      <c r="A333" t="s">
        <v>235</v>
      </c>
      <c r="B333">
        <v>2021</v>
      </c>
      <c r="C333">
        <v>0.33024288911963218</v>
      </c>
    </row>
    <row r="334" spans="1:3" x14ac:dyDescent="0.35">
      <c r="A334" t="s">
        <v>235</v>
      </c>
      <c r="B334">
        <v>2022</v>
      </c>
      <c r="C334">
        <v>0.28656727960275058</v>
      </c>
    </row>
    <row r="335" spans="1:3" x14ac:dyDescent="0.35">
      <c r="A335" t="s">
        <v>235</v>
      </c>
      <c r="B335">
        <v>2023</v>
      </c>
      <c r="C335">
        <v>0.28677556510334629</v>
      </c>
    </row>
    <row r="336" spans="1:3" x14ac:dyDescent="0.35">
      <c r="A336" t="s">
        <v>235</v>
      </c>
      <c r="B336">
        <v>2024</v>
      </c>
      <c r="C336">
        <v>0.27021367085446601</v>
      </c>
    </row>
    <row r="337" spans="1:3" x14ac:dyDescent="0.35">
      <c r="A337" t="s">
        <v>236</v>
      </c>
      <c r="B337">
        <v>2018</v>
      </c>
      <c r="C337" t="s">
        <v>11</v>
      </c>
    </row>
    <row r="338" spans="1:3" x14ac:dyDescent="0.35">
      <c r="A338" t="s">
        <v>236</v>
      </c>
      <c r="B338">
        <v>2019</v>
      </c>
      <c r="C338">
        <v>8.0251812502614803E-2</v>
      </c>
    </row>
    <row r="339" spans="1:3" x14ac:dyDescent="0.35">
      <c r="A339" t="s">
        <v>236</v>
      </c>
      <c r="B339">
        <v>2020</v>
      </c>
      <c r="C339">
        <v>7.6482914531026305E-2</v>
      </c>
    </row>
    <row r="340" spans="1:3" x14ac:dyDescent="0.35">
      <c r="A340" t="s">
        <v>236</v>
      </c>
      <c r="B340">
        <v>2021</v>
      </c>
      <c r="C340">
        <v>7.7476961767310393E-2</v>
      </c>
    </row>
    <row r="341" spans="1:3" x14ac:dyDescent="0.35">
      <c r="A341" t="s">
        <v>236</v>
      </c>
      <c r="B341">
        <v>2022</v>
      </c>
      <c r="C341">
        <v>9.0472586653495904E-2</v>
      </c>
    </row>
    <row r="342" spans="1:3" x14ac:dyDescent="0.35">
      <c r="A342" t="s">
        <v>236</v>
      </c>
      <c r="B342">
        <v>2023</v>
      </c>
      <c r="C342">
        <v>0.10085288590194108</v>
      </c>
    </row>
    <row r="343" spans="1:3" x14ac:dyDescent="0.35">
      <c r="A343" t="s">
        <v>236</v>
      </c>
      <c r="B343">
        <v>2024</v>
      </c>
      <c r="C343">
        <v>9.4821362982754301E-2</v>
      </c>
    </row>
    <row r="344" spans="1:3" x14ac:dyDescent="0.35">
      <c r="A344" t="s">
        <v>237</v>
      </c>
      <c r="B344">
        <v>2018</v>
      </c>
      <c r="C344">
        <v>4.3281077628752254</v>
      </c>
    </row>
    <row r="345" spans="1:3" x14ac:dyDescent="0.35">
      <c r="A345" t="s">
        <v>237</v>
      </c>
      <c r="B345">
        <v>2019</v>
      </c>
      <c r="C345">
        <v>4.8991003915239553</v>
      </c>
    </row>
    <row r="346" spans="1:3" x14ac:dyDescent="0.35">
      <c r="A346" t="s">
        <v>237</v>
      </c>
      <c r="B346">
        <v>2020</v>
      </c>
      <c r="C346">
        <v>4.9462922648736525</v>
      </c>
    </row>
    <row r="347" spans="1:3" x14ac:dyDescent="0.35">
      <c r="A347" t="s">
        <v>237</v>
      </c>
      <c r="B347">
        <v>2021</v>
      </c>
      <c r="C347">
        <v>5.6018201674554069</v>
      </c>
    </row>
    <row r="348" spans="1:3" x14ac:dyDescent="0.35">
      <c r="A348" t="s">
        <v>237</v>
      </c>
      <c r="B348">
        <v>2022</v>
      </c>
      <c r="C348">
        <v>4.9733450882557069</v>
      </c>
    </row>
    <row r="349" spans="1:3" x14ac:dyDescent="0.35">
      <c r="A349" t="s">
        <v>237</v>
      </c>
      <c r="B349">
        <v>2023</v>
      </c>
      <c r="C349">
        <v>5.3578549879123303</v>
      </c>
    </row>
    <row r="350" spans="1:3" x14ac:dyDescent="0.35">
      <c r="A350" t="s">
        <v>237</v>
      </c>
      <c r="B350">
        <v>2024</v>
      </c>
      <c r="C350">
        <v>5.9482192643223311</v>
      </c>
    </row>
    <row r="351" spans="1:3" x14ac:dyDescent="0.35">
      <c r="A351" t="s">
        <v>238</v>
      </c>
      <c r="B351">
        <v>2018</v>
      </c>
      <c r="C351">
        <v>4.3281077628752254</v>
      </c>
    </row>
    <row r="352" spans="1:3" x14ac:dyDescent="0.35">
      <c r="A352" t="s">
        <v>238</v>
      </c>
      <c r="B352">
        <v>2019</v>
      </c>
      <c r="C352">
        <v>4.8991003915239553</v>
      </c>
    </row>
    <row r="353" spans="1:3" x14ac:dyDescent="0.35">
      <c r="A353" t="s">
        <v>238</v>
      </c>
      <c r="B353">
        <v>2020</v>
      </c>
      <c r="C353">
        <v>4.9462922648736525</v>
      </c>
    </row>
    <row r="354" spans="1:3" x14ac:dyDescent="0.35">
      <c r="A354" t="s">
        <v>238</v>
      </c>
      <c r="B354">
        <v>2021</v>
      </c>
      <c r="C354">
        <v>5.6018201674554069</v>
      </c>
    </row>
    <row r="355" spans="1:3" x14ac:dyDescent="0.35">
      <c r="A355" t="s">
        <v>238</v>
      </c>
      <c r="B355">
        <v>2022</v>
      </c>
      <c r="C355">
        <v>4.9733450882557069</v>
      </c>
    </row>
    <row r="356" spans="1:3" x14ac:dyDescent="0.35">
      <c r="A356" t="s">
        <v>238</v>
      </c>
      <c r="B356">
        <v>2023</v>
      </c>
      <c r="C356">
        <v>5.3578549879123303</v>
      </c>
    </row>
    <row r="357" spans="1:3" x14ac:dyDescent="0.35">
      <c r="A357" t="s">
        <v>238</v>
      </c>
      <c r="B357">
        <v>2024</v>
      </c>
      <c r="C357">
        <v>1.5565512088067261</v>
      </c>
    </row>
    <row r="358" spans="1:3" x14ac:dyDescent="0.35">
      <c r="A358" t="s">
        <v>239</v>
      </c>
      <c r="B358">
        <v>2018</v>
      </c>
      <c r="C358">
        <v>0.5403190586628297</v>
      </c>
    </row>
    <row r="359" spans="1:3" x14ac:dyDescent="0.35">
      <c r="A359" t="s">
        <v>239</v>
      </c>
      <c r="B359">
        <v>2019</v>
      </c>
      <c r="C359">
        <v>0.58887840985161211</v>
      </c>
    </row>
    <row r="360" spans="1:3" x14ac:dyDescent="0.35">
      <c r="A360" t="s">
        <v>239</v>
      </c>
      <c r="B360">
        <v>2020</v>
      </c>
      <c r="C360">
        <v>0.81737898202733172</v>
      </c>
    </row>
    <row r="361" spans="1:3" x14ac:dyDescent="0.35">
      <c r="A361" t="s">
        <v>239</v>
      </c>
      <c r="B361">
        <v>2021</v>
      </c>
      <c r="C361">
        <v>0.82971431496929693</v>
      </c>
    </row>
    <row r="362" spans="1:3" x14ac:dyDescent="0.35">
      <c r="A362" t="s">
        <v>239</v>
      </c>
      <c r="B362">
        <v>2022</v>
      </c>
      <c r="C362">
        <v>0.93558084402168695</v>
      </c>
    </row>
    <row r="363" spans="1:3" x14ac:dyDescent="0.35">
      <c r="A363" t="s">
        <v>239</v>
      </c>
      <c r="B363">
        <v>2023</v>
      </c>
      <c r="C363">
        <v>0.85798139220081115</v>
      </c>
    </row>
    <row r="364" spans="1:3" x14ac:dyDescent="0.35">
      <c r="A364" t="s">
        <v>239</v>
      </c>
      <c r="B364">
        <v>2024</v>
      </c>
      <c r="C364">
        <v>0.84761966550658274</v>
      </c>
    </row>
    <row r="365" spans="1:3" x14ac:dyDescent="0.35">
      <c r="A365" t="s">
        <v>240</v>
      </c>
      <c r="B365">
        <v>2018</v>
      </c>
      <c r="C365">
        <v>0.43927544355818388</v>
      </c>
    </row>
    <row r="366" spans="1:3" x14ac:dyDescent="0.35">
      <c r="A366" t="s">
        <v>240</v>
      </c>
      <c r="B366">
        <v>2019</v>
      </c>
      <c r="C366">
        <v>0.38360773180540531</v>
      </c>
    </row>
    <row r="367" spans="1:3" x14ac:dyDescent="0.35">
      <c r="A367" t="s">
        <v>240</v>
      </c>
      <c r="B367">
        <v>2020</v>
      </c>
      <c r="C367">
        <v>0.32435242260798625</v>
      </c>
    </row>
    <row r="368" spans="1:3" x14ac:dyDescent="0.35">
      <c r="A368" t="s">
        <v>240</v>
      </c>
      <c r="B368">
        <v>2021</v>
      </c>
      <c r="C368">
        <v>0.35257018772100535</v>
      </c>
    </row>
    <row r="369" spans="1:3" x14ac:dyDescent="0.35">
      <c r="A369" t="s">
        <v>240</v>
      </c>
      <c r="B369">
        <v>2022</v>
      </c>
      <c r="C369">
        <v>0.4387933890012235</v>
      </c>
    </row>
    <row r="370" spans="1:3" x14ac:dyDescent="0.35">
      <c r="A370" t="s">
        <v>240</v>
      </c>
      <c r="B370">
        <v>2023</v>
      </c>
      <c r="C370">
        <v>0.43965578347330803</v>
      </c>
    </row>
    <row r="371" spans="1:3" x14ac:dyDescent="0.35">
      <c r="A371" t="s">
        <v>240</v>
      </c>
      <c r="B371">
        <v>2024</v>
      </c>
      <c r="C371">
        <v>0.6490653720196603</v>
      </c>
    </row>
    <row r="372" spans="1:3" x14ac:dyDescent="0.35">
      <c r="A372" t="s">
        <v>241</v>
      </c>
      <c r="B372">
        <v>2018</v>
      </c>
      <c r="C372">
        <v>0.75196638755846879</v>
      </c>
    </row>
    <row r="373" spans="1:3" x14ac:dyDescent="0.35">
      <c r="A373" t="s">
        <v>241</v>
      </c>
      <c r="B373">
        <v>2019</v>
      </c>
      <c r="C373">
        <v>0.94483160717882386</v>
      </c>
    </row>
    <row r="374" spans="1:3" x14ac:dyDescent="0.35">
      <c r="A374" t="s">
        <v>241</v>
      </c>
      <c r="B374">
        <v>2020</v>
      </c>
      <c r="C374">
        <v>2.9435970584506141</v>
      </c>
    </row>
    <row r="375" spans="1:3" x14ac:dyDescent="0.35">
      <c r="A375" t="s">
        <v>241</v>
      </c>
      <c r="B375">
        <v>2021</v>
      </c>
      <c r="C375">
        <v>3.1058343306795249</v>
      </c>
    </row>
    <row r="376" spans="1:3" x14ac:dyDescent="0.35">
      <c r="A376" t="s">
        <v>241</v>
      </c>
      <c r="B376">
        <v>2022</v>
      </c>
      <c r="C376">
        <v>8.2830555420574363</v>
      </c>
    </row>
    <row r="377" spans="1:3" x14ac:dyDescent="0.35">
      <c r="A377" t="s">
        <v>241</v>
      </c>
      <c r="B377">
        <v>2023</v>
      </c>
      <c r="C377">
        <v>3.5460793048907684</v>
      </c>
    </row>
    <row r="378" spans="1:3" x14ac:dyDescent="0.35">
      <c r="A378" t="s">
        <v>241</v>
      </c>
      <c r="B378">
        <v>2024</v>
      </c>
      <c r="C378">
        <v>2.9485371936013629</v>
      </c>
    </row>
    <row r="379" spans="1:3" x14ac:dyDescent="0.35">
      <c r="A379" t="s">
        <v>242</v>
      </c>
      <c r="B379">
        <v>2018</v>
      </c>
      <c r="C379">
        <v>1.1754219287210173</v>
      </c>
    </row>
    <row r="380" spans="1:3" x14ac:dyDescent="0.35">
      <c r="A380" t="s">
        <v>242</v>
      </c>
      <c r="B380">
        <v>2019</v>
      </c>
      <c r="C380">
        <v>1.4323704324043547</v>
      </c>
    </row>
    <row r="381" spans="1:3" x14ac:dyDescent="0.35">
      <c r="A381" t="s">
        <v>242</v>
      </c>
      <c r="B381">
        <v>2020</v>
      </c>
      <c r="C381">
        <v>4.47582097121846</v>
      </c>
    </row>
    <row r="382" spans="1:3" x14ac:dyDescent="0.35">
      <c r="A382" t="s">
        <v>242</v>
      </c>
      <c r="B382">
        <v>2021</v>
      </c>
      <c r="C382">
        <v>4.8724842303667337</v>
      </c>
    </row>
    <row r="383" spans="1:3" x14ac:dyDescent="0.35">
      <c r="A383" t="s">
        <v>242</v>
      </c>
      <c r="B383">
        <v>2022</v>
      </c>
      <c r="C383">
        <v>14.523332847401072</v>
      </c>
    </row>
    <row r="384" spans="1:3" x14ac:dyDescent="0.35">
      <c r="A384" t="s">
        <v>242</v>
      </c>
      <c r="B384">
        <v>2023</v>
      </c>
      <c r="C384">
        <v>6.0413308192260136</v>
      </c>
    </row>
    <row r="385" spans="1:3" x14ac:dyDescent="0.35">
      <c r="A385" t="s">
        <v>242</v>
      </c>
      <c r="B385">
        <v>2024</v>
      </c>
      <c r="C385">
        <v>5.5625266103035091</v>
      </c>
    </row>
    <row r="386" spans="1:3" x14ac:dyDescent="0.35">
      <c r="A386" t="s">
        <v>75</v>
      </c>
      <c r="B386">
        <v>2018</v>
      </c>
    </row>
    <row r="387" spans="1:3" x14ac:dyDescent="0.35">
      <c r="A387" t="s">
        <v>75</v>
      </c>
      <c r="B387">
        <v>2019</v>
      </c>
      <c r="C387">
        <v>11658527.218280805</v>
      </c>
    </row>
    <row r="388" spans="1:3" x14ac:dyDescent="0.35">
      <c r="A388" t="s">
        <v>75</v>
      </c>
      <c r="B388">
        <v>2020</v>
      </c>
      <c r="C388">
        <v>13215267.966862561</v>
      </c>
    </row>
    <row r="389" spans="1:3" x14ac:dyDescent="0.35">
      <c r="A389" t="s">
        <v>75</v>
      </c>
      <c r="B389">
        <v>2021</v>
      </c>
      <c r="C389">
        <v>21244526.856899731</v>
      </c>
    </row>
    <row r="390" spans="1:3" x14ac:dyDescent="0.35">
      <c r="A390" t="s">
        <v>75</v>
      </c>
      <c r="B390">
        <v>2022</v>
      </c>
      <c r="C390">
        <v>17137610.765452176</v>
      </c>
    </row>
    <row r="391" spans="1:3" x14ac:dyDescent="0.35">
      <c r="A391" t="s">
        <v>75</v>
      </c>
      <c r="B391">
        <v>2023</v>
      </c>
      <c r="C391">
        <v>34405160.857908845</v>
      </c>
    </row>
    <row r="392" spans="1:3" x14ac:dyDescent="0.35">
      <c r="A392" t="s">
        <v>75</v>
      </c>
      <c r="B392">
        <v>2024</v>
      </c>
      <c r="C392">
        <v>10053081.006231248</v>
      </c>
    </row>
    <row r="393" spans="1:3" x14ac:dyDescent="0.35">
      <c r="A393" t="s">
        <v>244</v>
      </c>
      <c r="B393">
        <v>2018</v>
      </c>
    </row>
    <row r="394" spans="1:3" x14ac:dyDescent="0.35">
      <c r="A394" t="s">
        <v>244</v>
      </c>
      <c r="B394">
        <v>2019</v>
      </c>
      <c r="C394" t="s">
        <v>11</v>
      </c>
    </row>
    <row r="395" spans="1:3" x14ac:dyDescent="0.35">
      <c r="A395" t="s">
        <v>244</v>
      </c>
      <c r="B395">
        <v>2020</v>
      </c>
      <c r="C395">
        <v>0.13352807944220912</v>
      </c>
    </row>
    <row r="396" spans="1:3" x14ac:dyDescent="0.35">
      <c r="A396" t="s">
        <v>244</v>
      </c>
      <c r="B396">
        <v>2021</v>
      </c>
      <c r="C396">
        <v>0.60757442907481174</v>
      </c>
    </row>
    <row r="397" spans="1:3" x14ac:dyDescent="0.35">
      <c r="A397" t="s">
        <v>244</v>
      </c>
      <c r="B397">
        <v>2022</v>
      </c>
      <c r="C397">
        <v>-0.19331643011450372</v>
      </c>
    </row>
    <row r="398" spans="1:3" x14ac:dyDescent="0.35">
      <c r="A398" t="s">
        <v>244</v>
      </c>
      <c r="B398">
        <v>2023</v>
      </c>
      <c r="C398">
        <v>1.0075821144955888</v>
      </c>
    </row>
    <row r="399" spans="1:3" x14ac:dyDescent="0.35">
      <c r="A399" t="s">
        <v>244</v>
      </c>
      <c r="B399">
        <v>2024</v>
      </c>
      <c r="C399">
        <v>-0.70780310989534856</v>
      </c>
    </row>
    <row r="400" spans="1:3" x14ac:dyDescent="0.35">
      <c r="A400" t="s">
        <v>102</v>
      </c>
      <c r="B400">
        <v>2018</v>
      </c>
    </row>
    <row r="401" spans="1:3" x14ac:dyDescent="0.35">
      <c r="A401" t="s">
        <v>102</v>
      </c>
      <c r="B401">
        <v>2019</v>
      </c>
      <c r="C401">
        <v>79417032.208870769</v>
      </c>
    </row>
    <row r="402" spans="1:3" x14ac:dyDescent="0.35">
      <c r="A402" t="s">
        <v>102</v>
      </c>
      <c r="B402">
        <v>2020</v>
      </c>
      <c r="C402">
        <v>33310337.725934073</v>
      </c>
    </row>
    <row r="403" spans="1:3" x14ac:dyDescent="0.35">
      <c r="A403" t="s">
        <v>102</v>
      </c>
      <c r="B403">
        <v>2021</v>
      </c>
      <c r="C403">
        <v>44284579.292009018</v>
      </c>
    </row>
    <row r="404" spans="1:3" x14ac:dyDescent="0.35">
      <c r="A404" t="s">
        <v>102</v>
      </c>
      <c r="B404">
        <v>2022</v>
      </c>
      <c r="C404">
        <v>51454467.77448678</v>
      </c>
    </row>
    <row r="405" spans="1:3" x14ac:dyDescent="0.35">
      <c r="A405" t="s">
        <v>102</v>
      </c>
      <c r="B405">
        <v>2023</v>
      </c>
      <c r="C405">
        <v>55008248.638751566</v>
      </c>
    </row>
    <row r="406" spans="1:3" x14ac:dyDescent="0.35">
      <c r="A406" t="s">
        <v>102</v>
      </c>
      <c r="B406">
        <v>2024</v>
      </c>
      <c r="C406">
        <v>62606637.482116088</v>
      </c>
    </row>
    <row r="407" spans="1:3" x14ac:dyDescent="0.35">
      <c r="A407" t="s">
        <v>245</v>
      </c>
      <c r="B407">
        <v>2018</v>
      </c>
    </row>
    <row r="408" spans="1:3" x14ac:dyDescent="0.35">
      <c r="A408" t="s">
        <v>245</v>
      </c>
      <c r="B408">
        <v>2019</v>
      </c>
      <c r="C408" t="s">
        <v>11</v>
      </c>
    </row>
    <row r="409" spans="1:3" x14ac:dyDescent="0.35">
      <c r="A409" t="s">
        <v>245</v>
      </c>
      <c r="B409">
        <v>2020</v>
      </c>
      <c r="C409">
        <v>-0.58056430970215289</v>
      </c>
    </row>
    <row r="410" spans="1:3" x14ac:dyDescent="0.35">
      <c r="A410" t="s">
        <v>245</v>
      </c>
      <c r="B410">
        <v>2021</v>
      </c>
      <c r="C410">
        <v>0.32945452719114421</v>
      </c>
    </row>
    <row r="411" spans="1:3" x14ac:dyDescent="0.35">
      <c r="A411" t="s">
        <v>245</v>
      </c>
      <c r="B411">
        <v>2022</v>
      </c>
      <c r="C411">
        <v>0.16190485711064539</v>
      </c>
    </row>
    <row r="412" spans="1:3" x14ac:dyDescent="0.35">
      <c r="A412" t="s">
        <v>245</v>
      </c>
      <c r="B412">
        <v>2023</v>
      </c>
      <c r="C412">
        <v>6.9066516824937363E-2</v>
      </c>
    </row>
    <row r="413" spans="1:3" x14ac:dyDescent="0.35">
      <c r="A413" t="s">
        <v>245</v>
      </c>
      <c r="B413">
        <v>2024</v>
      </c>
      <c r="C413">
        <v>0.13813180807235703</v>
      </c>
    </row>
    <row r="414" spans="1:3" x14ac:dyDescent="0.35">
      <c r="A414" t="s">
        <v>103</v>
      </c>
      <c r="B414">
        <v>2018</v>
      </c>
    </row>
    <row r="415" spans="1:3" x14ac:dyDescent="0.35">
      <c r="A415" t="s">
        <v>103</v>
      </c>
      <c r="B415">
        <v>2019</v>
      </c>
      <c r="C415">
        <v>62052241.334740721</v>
      </c>
    </row>
    <row r="416" spans="1:3" x14ac:dyDescent="0.35">
      <c r="A416" t="s">
        <v>103</v>
      </c>
      <c r="B416">
        <v>2020</v>
      </c>
      <c r="C416">
        <v>18142268.040338494</v>
      </c>
    </row>
    <row r="417" spans="1:3" x14ac:dyDescent="0.35">
      <c r="A417" t="s">
        <v>103</v>
      </c>
      <c r="B417">
        <v>2021</v>
      </c>
      <c r="C417">
        <v>31201425.618533798</v>
      </c>
    </row>
    <row r="418" spans="1:3" x14ac:dyDescent="0.35">
      <c r="A418" t="s">
        <v>103</v>
      </c>
      <c r="B418">
        <v>2022</v>
      </c>
      <c r="C418">
        <v>33688339.09160839</v>
      </c>
    </row>
    <row r="419" spans="1:3" x14ac:dyDescent="0.35">
      <c r="A419" t="s">
        <v>103</v>
      </c>
      <c r="B419">
        <v>2023</v>
      </c>
      <c r="C419">
        <v>38235125.314354785</v>
      </c>
    </row>
    <row r="420" spans="1:3" x14ac:dyDescent="0.35">
      <c r="A420" t="s">
        <v>103</v>
      </c>
      <c r="B420">
        <v>2024</v>
      </c>
      <c r="C420">
        <v>10306922.119395874</v>
      </c>
    </row>
    <row r="421" spans="1:3" x14ac:dyDescent="0.35">
      <c r="A421" t="s">
        <v>246</v>
      </c>
      <c r="B421">
        <v>2018</v>
      </c>
    </row>
    <row r="422" spans="1:3" x14ac:dyDescent="0.35">
      <c r="A422" t="s">
        <v>246</v>
      </c>
      <c r="B422">
        <v>2019</v>
      </c>
      <c r="C422" t="s">
        <v>11</v>
      </c>
    </row>
    <row r="423" spans="1:3" x14ac:dyDescent="0.35">
      <c r="A423" t="s">
        <v>246</v>
      </c>
      <c r="B423">
        <v>2020</v>
      </c>
      <c r="C423">
        <v>-0.707629125876855</v>
      </c>
    </row>
    <row r="424" spans="1:3" x14ac:dyDescent="0.35">
      <c r="A424" t="s">
        <v>246</v>
      </c>
      <c r="B424">
        <v>2021</v>
      </c>
      <c r="C424">
        <v>0.71981945968160499</v>
      </c>
    </row>
    <row r="425" spans="1:3" x14ac:dyDescent="0.35">
      <c r="A425" t="s">
        <v>246</v>
      </c>
      <c r="B425">
        <v>2022</v>
      </c>
      <c r="C425">
        <v>7.9705123204285799E-2</v>
      </c>
    </row>
    <row r="426" spans="1:3" x14ac:dyDescent="0.35">
      <c r="A426" t="s">
        <v>246</v>
      </c>
      <c r="B426">
        <v>2023</v>
      </c>
      <c r="C426">
        <v>0.13496617361818752</v>
      </c>
    </row>
    <row r="427" spans="1:3" x14ac:dyDescent="0.35">
      <c r="A427" t="s">
        <v>246</v>
      </c>
      <c r="B427">
        <v>2024</v>
      </c>
      <c r="C427">
        <v>-0.73043315447101986</v>
      </c>
    </row>
    <row r="428" spans="1:3" x14ac:dyDescent="0.35">
      <c r="A428" t="s">
        <v>104</v>
      </c>
      <c r="B428">
        <v>2018</v>
      </c>
    </row>
    <row r="429" spans="1:3" x14ac:dyDescent="0.35">
      <c r="A429" t="s">
        <v>104</v>
      </c>
      <c r="B429">
        <v>2019</v>
      </c>
      <c r="C429">
        <v>46481070.032653876</v>
      </c>
    </row>
    <row r="430" spans="1:3" x14ac:dyDescent="0.35">
      <c r="A430" t="s">
        <v>104</v>
      </c>
      <c r="B430">
        <v>2020</v>
      </c>
      <c r="C430">
        <v>5601619.5028498843</v>
      </c>
    </row>
    <row r="431" spans="1:3" x14ac:dyDescent="0.35">
      <c r="A431" t="s">
        <v>104</v>
      </c>
      <c r="B431">
        <v>2021</v>
      </c>
      <c r="C431">
        <v>19580422.719633348</v>
      </c>
    </row>
    <row r="432" spans="1:3" x14ac:dyDescent="0.35">
      <c r="A432" t="s">
        <v>104</v>
      </c>
      <c r="B432">
        <v>2022</v>
      </c>
      <c r="C432">
        <v>20141545.166170746</v>
      </c>
    </row>
    <row r="433" spans="1:3" x14ac:dyDescent="0.35">
      <c r="A433" t="s">
        <v>104</v>
      </c>
      <c r="B433">
        <v>2023</v>
      </c>
      <c r="C433">
        <v>23222055.60926095</v>
      </c>
    </row>
    <row r="434" spans="1:3" x14ac:dyDescent="0.35">
      <c r="A434" t="s">
        <v>104</v>
      </c>
      <c r="B434">
        <v>2024</v>
      </c>
      <c r="C434">
        <v>-4476676.6189686153</v>
      </c>
    </row>
    <row r="435" spans="1:3" x14ac:dyDescent="0.35">
      <c r="A435" t="s">
        <v>247</v>
      </c>
      <c r="B435">
        <v>2018</v>
      </c>
    </row>
    <row r="436" spans="1:3" x14ac:dyDescent="0.35">
      <c r="A436" t="s">
        <v>247</v>
      </c>
      <c r="B436">
        <v>2019</v>
      </c>
      <c r="C436" t="s">
        <v>11</v>
      </c>
    </row>
    <row r="437" spans="1:3" x14ac:dyDescent="0.35">
      <c r="A437" t="s">
        <v>247</v>
      </c>
      <c r="B437">
        <v>2020</v>
      </c>
      <c r="C437">
        <v>-0.87948600368032326</v>
      </c>
    </row>
    <row r="438" spans="1:3" x14ac:dyDescent="0.35">
      <c r="A438" t="s">
        <v>247</v>
      </c>
      <c r="B438">
        <v>2021</v>
      </c>
      <c r="C438">
        <v>2.495493171157305</v>
      </c>
    </row>
    <row r="439" spans="1:3" x14ac:dyDescent="0.35">
      <c r="A439" t="s">
        <v>247</v>
      </c>
      <c r="B439">
        <v>2022</v>
      </c>
      <c r="C439">
        <v>2.8657320353699944E-2</v>
      </c>
    </row>
    <row r="440" spans="1:3" x14ac:dyDescent="0.35">
      <c r="A440" t="s">
        <v>247</v>
      </c>
      <c r="B440">
        <v>2023</v>
      </c>
      <c r="C440">
        <v>0.15294310429887759</v>
      </c>
    </row>
    <row r="441" spans="1:3" x14ac:dyDescent="0.35">
      <c r="A441" t="s">
        <v>247</v>
      </c>
      <c r="B441">
        <v>2024</v>
      </c>
      <c r="C441">
        <v>-1.192776931305914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72C1-7E8D-439D-8244-58012390DF80}">
  <sheetPr codeName="Hoja9"/>
  <dimension ref="A2:AE85"/>
  <sheetViews>
    <sheetView zoomScale="70" zoomScaleNormal="70" workbookViewId="0">
      <selection activeCell="AB4" sqref="AB4"/>
    </sheetView>
  </sheetViews>
  <sheetFormatPr baseColWidth="10" defaultRowHeight="14.5" x14ac:dyDescent="0.35"/>
  <cols>
    <col min="2" max="2" width="64.90625" bestFit="1" customWidth="1"/>
    <col min="3" max="3" width="14.7265625" bestFit="1" customWidth="1"/>
    <col min="4" max="4" width="16.08984375" customWidth="1"/>
    <col min="5" max="6" width="13.1796875" bestFit="1" customWidth="1"/>
    <col min="7" max="7" width="14.36328125" customWidth="1"/>
    <col min="8" max="8" width="13" bestFit="1" customWidth="1"/>
    <col min="9" max="9" width="12.08984375" bestFit="1" customWidth="1"/>
    <col min="10" max="10" width="13.54296875" customWidth="1"/>
    <col min="11" max="11" width="8.36328125" bestFit="1" customWidth="1"/>
    <col min="12" max="12" width="8.453125" bestFit="1" customWidth="1"/>
    <col min="13" max="13" width="9.7265625" bestFit="1" customWidth="1"/>
    <col min="18" max="18" width="94.36328125" customWidth="1"/>
    <col min="19" max="19" width="52.453125" customWidth="1"/>
    <col min="20" max="21" width="14.1796875" customWidth="1"/>
    <col min="22" max="22" width="15.6328125" customWidth="1"/>
    <col min="23" max="23" width="18.54296875" customWidth="1"/>
    <col min="24" max="24" width="14.81640625" bestFit="1" customWidth="1"/>
    <col min="27" max="27" width="54" customWidth="1"/>
    <col min="28" max="28" width="16.26953125" bestFit="1" customWidth="1"/>
    <col min="29" max="29" width="15.81640625" bestFit="1" customWidth="1"/>
    <col min="30" max="30" width="14.54296875" customWidth="1"/>
    <col min="31" max="31" width="20.81640625" customWidth="1"/>
  </cols>
  <sheetData>
    <row r="2" spans="1:31" ht="15" thickBot="1" x14ac:dyDescent="0.4">
      <c r="C2" s="515" t="s">
        <v>40</v>
      </c>
      <c r="D2" s="515"/>
      <c r="E2" s="515" t="s">
        <v>39</v>
      </c>
      <c r="F2" s="515"/>
      <c r="G2" s="515" t="s">
        <v>98</v>
      </c>
      <c r="H2" s="515"/>
      <c r="I2" s="515"/>
      <c r="J2" s="515"/>
      <c r="K2" s="515" t="s">
        <v>99</v>
      </c>
      <c r="L2" s="515"/>
      <c r="M2" s="515"/>
      <c r="N2" s="515" t="s">
        <v>100</v>
      </c>
      <c r="O2" s="515"/>
      <c r="P2" s="515"/>
      <c r="T2" s="515" t="s">
        <v>250</v>
      </c>
      <c r="U2" s="515"/>
      <c r="V2" s="515"/>
      <c r="W2" s="515" t="s">
        <v>100</v>
      </c>
      <c r="X2" s="515"/>
      <c r="Y2" s="515"/>
      <c r="AB2" s="516" t="s">
        <v>250</v>
      </c>
      <c r="AC2" s="516"/>
      <c r="AD2" s="516"/>
    </row>
    <row r="3" spans="1:31" ht="18.5" thickBot="1" x14ac:dyDescent="0.4">
      <c r="B3" s="460" t="s">
        <v>12</v>
      </c>
      <c r="C3" s="462">
        <f>'Dashboard-EIR'!B4</f>
        <v>2021</v>
      </c>
      <c r="D3" s="462" t="s">
        <v>97</v>
      </c>
      <c r="E3" s="462">
        <f>'Dashboard-EIR'!B5</f>
        <v>2024</v>
      </c>
      <c r="F3" s="462" t="s">
        <v>97</v>
      </c>
      <c r="G3" s="462" t="s">
        <v>34</v>
      </c>
      <c r="H3" s="462" t="s">
        <v>37</v>
      </c>
      <c r="I3" s="462" t="s">
        <v>35</v>
      </c>
      <c r="J3" s="462" t="s">
        <v>36</v>
      </c>
      <c r="K3" s="462" t="s">
        <v>38</v>
      </c>
      <c r="L3" s="462" t="s">
        <v>35</v>
      </c>
      <c r="M3" s="462" t="s">
        <v>36</v>
      </c>
      <c r="N3" s="462">
        <f>C3</f>
        <v>2021</v>
      </c>
      <c r="O3" s="462">
        <f>E3</f>
        <v>2024</v>
      </c>
      <c r="P3" s="462" t="s">
        <v>34</v>
      </c>
      <c r="R3" s="193" t="s">
        <v>2</v>
      </c>
      <c r="S3" s="193" t="s">
        <v>137</v>
      </c>
      <c r="T3" s="462">
        <f>'Dashboard-EIR'!B4</f>
        <v>2021</v>
      </c>
      <c r="U3" s="462">
        <f>'Dashboard-EIR'!B5</f>
        <v>2024</v>
      </c>
      <c r="V3" s="462" t="s">
        <v>133</v>
      </c>
      <c r="W3" s="462">
        <f>T3</f>
        <v>2021</v>
      </c>
      <c r="X3" s="462">
        <f>U3</f>
        <v>2024</v>
      </c>
      <c r="Y3" s="462" t="s">
        <v>34</v>
      </c>
      <c r="AA3" s="490"/>
      <c r="AB3" s="491">
        <f>'Dashboard-EIR'!B4</f>
        <v>2021</v>
      </c>
      <c r="AC3" s="491">
        <f>'Dashboard-EIR'!B5</f>
        <v>2024</v>
      </c>
      <c r="AD3" s="462" t="s">
        <v>133</v>
      </c>
    </row>
    <row r="4" spans="1:31" ht="15.5" x14ac:dyDescent="0.35">
      <c r="A4">
        <v>3</v>
      </c>
      <c r="B4" s="163" t="s">
        <v>13</v>
      </c>
      <c r="C4" s="463">
        <f>HLOOKUP(C$3,EIR!$C$3:$J$20,$A4,FALSE)</f>
        <v>570036545.83152092</v>
      </c>
      <c r="D4" s="463">
        <f>C4</f>
        <v>570036545.83152092</v>
      </c>
      <c r="E4" s="463">
        <f>HLOOKUP(E$3,EIR!$C$3:$J$20,$A4,FALSE)</f>
        <v>550376182.78329098</v>
      </c>
      <c r="F4" s="463">
        <f>E4</f>
        <v>550376182.78329098</v>
      </c>
      <c r="G4" s="464">
        <f t="shared" ref="G4:G19" si="0">+E4-C4</f>
        <v>-19660363.048229933</v>
      </c>
      <c r="H4" s="465">
        <f>+G4/1000000</f>
        <v>-19.660363048229932</v>
      </c>
      <c r="I4" s="464" t="str">
        <f>IF(G4&gt;0,G4,"")</f>
        <v/>
      </c>
      <c r="J4" s="464">
        <f>IF(G4&lt;0,G4,"")</f>
        <v>-19660363.048229933</v>
      </c>
      <c r="K4" s="466">
        <f>+G4/C4</f>
        <v>-3.4489653675714889E-2</v>
      </c>
      <c r="L4" s="466" t="str">
        <f>IF(K4&gt;0,K4,"")</f>
        <v/>
      </c>
      <c r="M4" s="466">
        <f>IF(K4&lt;0,K4,"")</f>
        <v>-3.4489653675714889E-2</v>
      </c>
      <c r="N4" s="468">
        <f>C4/$C$7</f>
        <v>1.1037029386577255</v>
      </c>
      <c r="O4" s="468">
        <f>E4/$E$7</f>
        <v>0.99696993513453847</v>
      </c>
      <c r="P4" s="469">
        <f>+O4-N4</f>
        <v>-0.10673300352318704</v>
      </c>
      <c r="Q4">
        <v>3</v>
      </c>
      <c r="R4" s="196" t="s">
        <v>44</v>
      </c>
      <c r="S4" s="196" t="s">
        <v>138</v>
      </c>
      <c r="T4" s="463">
        <f>HLOOKUP(T$3,ESF!$C$3:$J$36,$Q4,FALSE)</f>
        <v>3154181.4972042916</v>
      </c>
      <c r="U4" s="463">
        <f>HLOOKUP(U$3,ESF!$C$3:$J$36,$Q4,FALSE)</f>
        <v>19822447.880606201</v>
      </c>
      <c r="V4" s="463">
        <f>U4-T4</f>
        <v>16668266.383401908</v>
      </c>
      <c r="W4" s="469">
        <f>T4/$T$15</f>
        <v>9.7804566116536495E-3</v>
      </c>
      <c r="X4" s="469">
        <f>U4/$U$15</f>
        <v>5.9704618863797507E-2</v>
      </c>
      <c r="Y4" s="469">
        <f>+X4-W4</f>
        <v>4.9924162252143856E-2</v>
      </c>
      <c r="AA4" s="489" t="s">
        <v>167</v>
      </c>
      <c r="AB4" s="492">
        <f t="array" ref="AB4">INDEX('Unpivot ratios'!$C$1:$C$500,MATCH(1,('Unpivot ratios'!$A$1:$A$500=$AA4)*('Unpivot ratios'!$B$1:$B$500=AB$3),0))</f>
        <v>3.9425141719644383E-2</v>
      </c>
      <c r="AC4" s="492">
        <f t="array" ref="AC4">INDEX('Unpivot ratios'!$C$1:$C$500,MATCH(1,('Unpivot ratios'!$A$1:$A$500=$AA4)*('Unpivot ratios'!$B$1:$B$500=AC$3),0))</f>
        <v>5.1839972887719819E-2</v>
      </c>
      <c r="AD4" s="492">
        <f>AC4-AB4</f>
        <v>1.2414831168075437E-2</v>
      </c>
      <c r="AE4" t="str">
        <f>TEXT(AC4,"0,0%")&amp;" ("&amp;IF(AD4&gt;0,"▲ ","▼ ")&amp;TEXT(AD4*100,"+0,0"" pp"";-0,0"" pp"";0"" pp""")&amp;")"</f>
        <v>5,2% (▲ +1,2 pp)</v>
      </c>
    </row>
    <row r="5" spans="1:31" ht="15.5" x14ac:dyDescent="0.35">
      <c r="A5">
        <v>4</v>
      </c>
      <c r="B5" s="167" t="s">
        <v>14</v>
      </c>
      <c r="C5" s="463">
        <f>-HLOOKUP($C$3,EIR!$C$3:$J$20,A5,FALSE)</f>
        <v>59403010.665286541</v>
      </c>
      <c r="D5" s="463">
        <f>+D4-C5</f>
        <v>510633535.16623437</v>
      </c>
      <c r="E5" s="463">
        <f>-HLOOKUP(E$3,EIR!$C$3:$J$20,$A5,FALSE)</f>
        <v>0</v>
      </c>
      <c r="F5" s="463">
        <f>+F4-E5</f>
        <v>550376182.78329098</v>
      </c>
      <c r="G5" s="464">
        <f t="shared" si="0"/>
        <v>-59403010.665286541</v>
      </c>
      <c r="H5" s="465">
        <f t="shared" ref="H5:H19" si="1">+G5/1000000</f>
        <v>-59.403010665286544</v>
      </c>
      <c r="I5" s="464" t="str">
        <f t="shared" ref="I5:I19" si="2">IF(G5&gt;0,G5,"")</f>
        <v/>
      </c>
      <c r="J5" s="464">
        <f t="shared" ref="J5:J19" si="3">IF(G5&lt;0,G5,"")</f>
        <v>-59403010.665286541</v>
      </c>
      <c r="K5" s="466">
        <f t="shared" ref="K5:K19" si="4">+G5/C5</f>
        <v>-1</v>
      </c>
      <c r="L5" s="466" t="str">
        <f t="shared" ref="L5:L19" si="5">IF(K5&gt;0,K5,"")</f>
        <v/>
      </c>
      <c r="M5" s="466">
        <f t="shared" ref="M5:M19" si="6">IF(K5&lt;0,K5,"")</f>
        <v>-1</v>
      </c>
      <c r="N5" s="468">
        <f t="shared" ref="N5:N19" si="7">C5/$C$7</f>
        <v>0.11501591944557663</v>
      </c>
      <c r="O5" s="468">
        <f t="shared" ref="O5:O19" si="8">E5/$E$7</f>
        <v>0</v>
      </c>
      <c r="P5" s="469">
        <f t="shared" ref="P5:P19" si="9">+O5-N5</f>
        <v>-0.11501591944557663</v>
      </c>
      <c r="Q5">
        <f>+Q4+1</f>
        <v>4</v>
      </c>
      <c r="R5" s="201" t="s">
        <v>45</v>
      </c>
      <c r="S5" s="201" t="s">
        <v>136</v>
      </c>
      <c r="T5" s="463">
        <f>HLOOKUP(T$3,ESF!$C$3:$J$36,$Q5,FALSE)</f>
        <v>30454330.411148544</v>
      </c>
      <c r="U5" s="463">
        <f>HLOOKUP(U$3,ESF!$C$3:$J$36,$Q5,FALSE)</f>
        <v>45837064.389568426</v>
      </c>
      <c r="V5" s="463">
        <f t="shared" ref="V5:V35" si="10">U5-T5</f>
        <v>15382733.978419881</v>
      </c>
      <c r="W5" s="469">
        <f t="shared" ref="W5:W35" si="11">T5/$T$15</f>
        <v>9.443250411785381E-2</v>
      </c>
      <c r="X5" s="469">
        <f t="shared" ref="X5:X35" si="12">U5/$U$15</f>
        <v>0.13805986403384787</v>
      </c>
      <c r="Y5" s="469">
        <f t="shared" ref="Y5:Y35" si="13">+X5-W5</f>
        <v>4.3627359915994063E-2</v>
      </c>
      <c r="AA5" s="489" t="s">
        <v>168</v>
      </c>
      <c r="AB5" s="493">
        <f t="array" ref="AB5">INDEX('Unpivot ratios'!$C$1:$C$500,MATCH(1,('Unpivot ratios'!$A$1:$A$500=$AA5)*('Unpivot ratios'!$B$1:$B$500=AB$3),0))</f>
        <v>1.6014852825492594</v>
      </c>
      <c r="AC5" s="493">
        <f t="array" ref="AC5">INDEX('Unpivot ratios'!$C$1:$C$500,MATCH(1,('Unpivot ratios'!$A$1:$A$500=$AA5)*('Unpivot ratios'!$B$1:$B$500=AC$3),0))</f>
        <v>1.6627548206813139</v>
      </c>
      <c r="AD5" s="497">
        <f>AC5-AB5</f>
        <v>6.1269538132054491E-2</v>
      </c>
      <c r="AE5" t="str">
        <f>TEXT(AC5,"0,0")&amp;" x ("&amp;IF(AD5&gt;0,"▲ ","▼ ")&amp;TEXT(AD5,"+0,00"" x"";-0,00"" x"";0"" x""")&amp;")"</f>
        <v>1,7 x (▲ +0,06 x)</v>
      </c>
    </row>
    <row r="6" spans="1:31" ht="16" thickBot="1" x14ac:dyDescent="0.4">
      <c r="A6">
        <v>5</v>
      </c>
      <c r="B6" s="167" t="s">
        <v>33</v>
      </c>
      <c r="C6" s="463">
        <f>HLOOKUP($C$3,EIR!$C$3:$J$20,A6,FALSE)</f>
        <v>5842887.8509717509</v>
      </c>
      <c r="D6" s="463">
        <f>D5</f>
        <v>510633535.16623437</v>
      </c>
      <c r="E6" s="463">
        <f>HLOOKUP(E$3,EIR!$C$3:$J$20,$A6,FALSE)</f>
        <v>1672744.057235172</v>
      </c>
      <c r="F6" s="463">
        <f>F5</f>
        <v>550376182.78329098</v>
      </c>
      <c r="G6" s="464">
        <f t="shared" si="0"/>
        <v>-4170143.7937365789</v>
      </c>
      <c r="H6" s="465">
        <f t="shared" si="1"/>
        <v>-4.1701437937365791</v>
      </c>
      <c r="I6" s="464" t="str">
        <f t="shared" si="2"/>
        <v/>
      </c>
      <c r="J6" s="464">
        <f t="shared" si="3"/>
        <v>-4170143.7937365789</v>
      </c>
      <c r="K6" s="466">
        <f t="shared" si="4"/>
        <v>-0.71371279067816229</v>
      </c>
      <c r="L6" s="466" t="str">
        <f t="shared" si="5"/>
        <v/>
      </c>
      <c r="M6" s="466">
        <f t="shared" si="6"/>
        <v>-0.71371279067816229</v>
      </c>
      <c r="N6" s="468">
        <f t="shared" si="7"/>
        <v>1.1312980787851179E-2</v>
      </c>
      <c r="O6" s="468">
        <f t="shared" si="8"/>
        <v>3.0300648654614411E-3</v>
      </c>
      <c r="P6" s="469">
        <f t="shared" si="9"/>
        <v>-8.2829159223897376E-3</v>
      </c>
      <c r="Q6">
        <f t="shared" ref="Q6:Q35" si="14">+Q5+1</f>
        <v>5</v>
      </c>
      <c r="R6" s="201" t="s">
        <v>46</v>
      </c>
      <c r="S6" s="201" t="s">
        <v>140</v>
      </c>
      <c r="T6" s="463">
        <f>HLOOKUP(T$3,ESF!$C$3:$J$36,$Q6,FALSE)</f>
        <v>-224164.700727424</v>
      </c>
      <c r="U6" s="463">
        <f>HLOOKUP(U$3,ESF!$C$3:$J$36,$Q6,FALSE)</f>
        <v>-3729209.9392260942</v>
      </c>
      <c r="V6" s="463">
        <f t="shared" si="10"/>
        <v>-3505045.23849867</v>
      </c>
      <c r="W6" s="469">
        <f t="shared" si="11"/>
        <v>-6.9508781637079491E-4</v>
      </c>
      <c r="X6" s="469">
        <f t="shared" si="12"/>
        <v>-1.1232268558638299E-2</v>
      </c>
      <c r="Y6" s="469">
        <f t="shared" si="13"/>
        <v>-1.0537180742267505E-2</v>
      </c>
      <c r="AA6" s="489" t="s">
        <v>169</v>
      </c>
      <c r="AB6" s="492">
        <f t="array" ref="AB6">INDEX('Unpivot ratios'!$C$1:$C$500,MATCH(1,('Unpivot ratios'!$A$1:$A$500=$AA6)*('Unpivot ratios'!$B$1:$B$500=AB$3),0))</f>
        <v>6.3138784226429281E-2</v>
      </c>
      <c r="AC6" s="492">
        <f t="array" ref="AC6">INDEX('Unpivot ratios'!$C$1:$C$500,MATCH(1,('Unpivot ratios'!$A$1:$A$500=$AA6)*('Unpivot ratios'!$B$1:$B$500=AC$3),0))</f>
        <v>8.6197164823044736E-2</v>
      </c>
      <c r="AD6" s="492">
        <f t="shared" ref="AD6:AD66" si="15">AC6-AB6</f>
        <v>2.3058380596615455E-2</v>
      </c>
      <c r="AE6" t="str">
        <f t="shared" ref="AE6:AE10" si="16">TEXT(AC6,"0,0%")&amp;" ("&amp;IF(AD6&gt;0,"▲ ","▼ ")&amp;TEXT(AD6*100,"+0,0"" pp"";-0,0"" pp"";0"" pp""")&amp;")"</f>
        <v>8,6% (▲ +2,3 pp)</v>
      </c>
    </row>
    <row r="7" spans="1:31" ht="16" thickBot="1" x14ac:dyDescent="0.4">
      <c r="A7">
        <v>6</v>
      </c>
      <c r="B7" s="261" t="s">
        <v>15</v>
      </c>
      <c r="C7" s="463">
        <f>HLOOKUP($C$3,EIR!$C$3:$J$20,A7,FALSE)</f>
        <v>516476423.01720613</v>
      </c>
      <c r="D7" s="463">
        <f>C7</f>
        <v>516476423.01720613</v>
      </c>
      <c r="E7" s="463">
        <f>HLOOKUP(E$3,EIR!$C$3:$J$20,$A7,FALSE)</f>
        <v>552048926.84052622</v>
      </c>
      <c r="F7" s="463">
        <f>E7</f>
        <v>552048926.84052622</v>
      </c>
      <c r="G7" s="464">
        <f t="shared" si="0"/>
        <v>35572503.823320091</v>
      </c>
      <c r="H7" s="465">
        <f t="shared" si="1"/>
        <v>35.572503823320091</v>
      </c>
      <c r="I7" s="464">
        <f t="shared" si="2"/>
        <v>35572503.823320091</v>
      </c>
      <c r="J7" s="464" t="str">
        <f t="shared" si="3"/>
        <v/>
      </c>
      <c r="K7" s="466">
        <f t="shared" si="4"/>
        <v>6.8875368241417309E-2</v>
      </c>
      <c r="L7" s="466">
        <f t="shared" si="5"/>
        <v>6.8875368241417309E-2</v>
      </c>
      <c r="M7" s="466" t="str">
        <f t="shared" si="6"/>
        <v/>
      </c>
      <c r="N7" s="468">
        <f t="shared" si="7"/>
        <v>1</v>
      </c>
      <c r="O7" s="468">
        <f t="shared" si="8"/>
        <v>1</v>
      </c>
      <c r="P7" s="469">
        <f t="shared" si="9"/>
        <v>0</v>
      </c>
      <c r="Q7">
        <f t="shared" si="14"/>
        <v>6</v>
      </c>
      <c r="R7" s="201" t="s">
        <v>47</v>
      </c>
      <c r="S7" s="201" t="s">
        <v>141</v>
      </c>
      <c r="T7" s="463">
        <f>HLOOKUP(T$3,ESF!$C$3:$J$36,$Q7,FALSE)</f>
        <v>36622034.818556778</v>
      </c>
      <c r="U7" s="463">
        <f>HLOOKUP(U$3,ESF!$C$3:$J$36,$Q7,FALSE)</f>
        <v>43553811.831679359</v>
      </c>
      <c r="V7" s="463">
        <f t="shared" si="10"/>
        <v>6931777.0131225809</v>
      </c>
      <c r="W7" s="469">
        <f t="shared" si="11"/>
        <v>0.11355726450454319</v>
      </c>
      <c r="X7" s="469">
        <f t="shared" si="12"/>
        <v>0.13118277576706874</v>
      </c>
      <c r="Y7" s="469">
        <f t="shared" si="13"/>
        <v>1.7625511262525553E-2</v>
      </c>
      <c r="AA7" s="489" t="s">
        <v>170</v>
      </c>
      <c r="AB7" s="493">
        <f t="array" ref="AB7">INDEX('Unpivot ratios'!$C$1:$C$500,MATCH(1,('Unpivot ratios'!$A$1:$A$500=$AA7)*('Unpivot ratios'!$B$1:$B$500=AB$3),0))</f>
        <v>5.8724842303667337</v>
      </c>
      <c r="AC7" s="493">
        <f t="array" ref="AC7">INDEX('Unpivot ratios'!$C$1:$C$500,MATCH(1,('Unpivot ratios'!$A$1:$A$500=$AA7)*('Unpivot ratios'!$B$1:$B$500=AC$3),0))</f>
        <v>6.56252661030351</v>
      </c>
      <c r="AD7" s="497">
        <f t="shared" si="15"/>
        <v>0.69004237993677631</v>
      </c>
      <c r="AE7" t="str">
        <f t="shared" ref="AE7" si="17">TEXT(AC7,"0,0")&amp;" x ("&amp;IF(AD7&gt;0,"▲ ","▼ ")&amp;TEXT(AD7,"+0,00"" x"";-0,00"" x"";0"" x""")&amp;")"</f>
        <v>6,6 x (▲ +0,69 x)</v>
      </c>
    </row>
    <row r="8" spans="1:31" ht="16" thickBot="1" x14ac:dyDescent="0.4">
      <c r="A8">
        <v>7</v>
      </c>
      <c r="B8" s="179" t="s">
        <v>16</v>
      </c>
      <c r="C8" s="463">
        <f>HLOOKUP($C$3,EIR!$C$3:$J$20,A8,FALSE)</f>
        <v>294600043.8168962</v>
      </c>
      <c r="D8" s="463">
        <f>+D7-C8</f>
        <v>221876379.20030993</v>
      </c>
      <c r="E8" s="463">
        <f>HLOOKUP(E$3,EIR!$C$3:$J$20,$A8,FALSE)</f>
        <v>298319255.32733285</v>
      </c>
      <c r="F8" s="463">
        <f>+F7-E8</f>
        <v>253729671.51319337</v>
      </c>
      <c r="G8" s="464">
        <f t="shared" si="0"/>
        <v>3719211.5104366541</v>
      </c>
      <c r="H8" s="465">
        <f t="shared" si="1"/>
        <v>3.7192115104366539</v>
      </c>
      <c r="I8" s="464">
        <f t="shared" si="2"/>
        <v>3719211.5104366541</v>
      </c>
      <c r="J8" s="464" t="str">
        <f t="shared" si="3"/>
        <v/>
      </c>
      <c r="K8" s="466">
        <f t="shared" si="4"/>
        <v>1.2624612889563142E-2</v>
      </c>
      <c r="L8" s="466">
        <f t="shared" si="5"/>
        <v>1.2624612889563142E-2</v>
      </c>
      <c r="M8" s="466" t="str">
        <f t="shared" si="6"/>
        <v/>
      </c>
      <c r="N8" s="468">
        <f t="shared" si="7"/>
        <v>0.57040366353195904</v>
      </c>
      <c r="O8" s="468">
        <f t="shared" si="8"/>
        <v>0.54038553617822749</v>
      </c>
      <c r="P8" s="469">
        <f t="shared" si="9"/>
        <v>-3.001812735373155E-2</v>
      </c>
      <c r="Q8">
        <f t="shared" si="14"/>
        <v>7</v>
      </c>
      <c r="R8" s="207" t="s">
        <v>48</v>
      </c>
      <c r="S8" s="207" t="s">
        <v>142</v>
      </c>
      <c r="T8" s="463">
        <f>HLOOKUP(T$3,ESF!$C$3:$J$36,$Q8,FALSE)</f>
        <v>37385972.877976298</v>
      </c>
      <c r="U8" s="463">
        <f>HLOOKUP(U$3,ESF!$C$3:$J$36,$Q8,FALSE)</f>
        <v>8697899.8384491112</v>
      </c>
      <c r="V8" s="463">
        <f t="shared" si="10"/>
        <v>-28688073.039527185</v>
      </c>
      <c r="W8" s="469">
        <f t="shared" si="11"/>
        <v>0.11592607652463968</v>
      </c>
      <c r="X8" s="469">
        <f t="shared" si="12"/>
        <v>2.6197813604956693E-2</v>
      </c>
      <c r="Y8" s="469">
        <f t="shared" si="13"/>
        <v>-8.9728262919682986E-2</v>
      </c>
      <c r="AA8" s="489" t="s">
        <v>171</v>
      </c>
      <c r="AB8" s="492">
        <f t="array" ref="AB8">INDEX('Unpivot ratios'!$C$1:$C$500,MATCH(1,('Unpivot ratios'!$A$1:$A$500=$AA8)*('Unpivot ratios'!$B$1:$B$500=AB$3),0))</f>
        <v>0.37078151469423382</v>
      </c>
      <c r="AC8" s="492">
        <f t="array" ref="AC8">INDEX('Unpivot ratios'!$C$1:$C$500,MATCH(1,('Unpivot ratios'!$A$1:$A$500=$AA8)*('Unpivot ratios'!$B$1:$B$500=AC$3),0))</f>
        <v>0.56567118788394866</v>
      </c>
      <c r="AD8" s="492">
        <f t="shared" si="15"/>
        <v>0.19488967318971484</v>
      </c>
      <c r="AE8" t="str">
        <f t="shared" si="16"/>
        <v>56,6% (▲ +19,5 pp)</v>
      </c>
    </row>
    <row r="9" spans="1:31" ht="19" thickTop="1" thickBot="1" x14ac:dyDescent="0.4">
      <c r="A9">
        <v>8</v>
      </c>
      <c r="B9" s="270" t="s">
        <v>17</v>
      </c>
      <c r="C9" s="463">
        <f>HLOOKUP($C$3,EIR!$C$3:$J$20,A9,FALSE)</f>
        <v>221876379.2003099</v>
      </c>
      <c r="D9" s="463">
        <f>C9</f>
        <v>221876379.2003099</v>
      </c>
      <c r="E9" s="463">
        <f>HLOOKUP(E$3,EIR!$C$3:$J$20,$A9,FALSE)</f>
        <v>253729671.51319331</v>
      </c>
      <c r="F9" s="463">
        <f>E9</f>
        <v>253729671.51319331</v>
      </c>
      <c r="G9" s="464">
        <f t="shared" si="0"/>
        <v>31853292.312883407</v>
      </c>
      <c r="H9" s="465">
        <f t="shared" si="1"/>
        <v>31.853292312883408</v>
      </c>
      <c r="I9" s="464">
        <f t="shared" si="2"/>
        <v>31853292.312883407</v>
      </c>
      <c r="J9" s="464" t="str">
        <f t="shared" si="3"/>
        <v/>
      </c>
      <c r="K9" s="466">
        <f t="shared" si="4"/>
        <v>0.14356324196243653</v>
      </c>
      <c r="L9" s="466">
        <f t="shared" si="5"/>
        <v>0.14356324196243653</v>
      </c>
      <c r="M9" s="466" t="str">
        <f t="shared" si="6"/>
        <v/>
      </c>
      <c r="N9" s="468">
        <f t="shared" si="7"/>
        <v>0.42959633646804091</v>
      </c>
      <c r="O9" s="468">
        <f t="shared" si="8"/>
        <v>0.4596144638217724</v>
      </c>
      <c r="P9" s="469">
        <f t="shared" si="9"/>
        <v>3.0018127353731494E-2</v>
      </c>
      <c r="Q9">
        <f t="shared" si="14"/>
        <v>8</v>
      </c>
      <c r="R9" s="212" t="s">
        <v>49</v>
      </c>
      <c r="S9" s="212" t="s">
        <v>147</v>
      </c>
      <c r="T9" s="463">
        <f>HLOOKUP(T$3,ESF!$C$3:$J$36,$Q9,FALSE)</f>
        <v>107392354.90415849</v>
      </c>
      <c r="U9" s="463">
        <f>HLOOKUP(U$3,ESF!$C$3:$J$36,$Q9,FALSE)</f>
        <v>114182014.00107701</v>
      </c>
      <c r="V9" s="463">
        <f t="shared" si="10"/>
        <v>6789659.0969185233</v>
      </c>
      <c r="W9" s="469">
        <f t="shared" si="11"/>
        <v>0.33300121394231952</v>
      </c>
      <c r="X9" s="469">
        <f t="shared" si="12"/>
        <v>0.34391280371103256</v>
      </c>
      <c r="Y9" s="469">
        <f t="shared" si="13"/>
        <v>1.0911589768713037E-2</v>
      </c>
      <c r="AA9" s="489" t="s">
        <v>174</v>
      </c>
      <c r="AB9" s="494">
        <f t="array" ref="AB9">INDEX('Unpivot ratios'!$C$1:$C$500,MATCH(1,('Unpivot ratios'!$A$1:$A$500=$AA9)*('Unpivot ratios'!$B$1:$B$500=AB$3),0))</f>
        <v>516476423.01720613</v>
      </c>
      <c r="AC9" s="494">
        <f t="array" ref="AC9">INDEX('Unpivot ratios'!$C$1:$C$500,MATCH(1,('Unpivot ratios'!$A$1:$A$500=$AA9)*('Unpivot ratios'!$B$1:$B$500=AC$3),0))</f>
        <v>552048926.84052622</v>
      </c>
      <c r="AD9" s="494">
        <f t="shared" si="15"/>
        <v>35572503.823320091</v>
      </c>
    </row>
    <row r="10" spans="1:31" ht="16" thickBot="1" x14ac:dyDescent="0.4">
      <c r="A10">
        <v>9</v>
      </c>
      <c r="B10" s="167" t="s">
        <v>18</v>
      </c>
      <c r="C10" s="463">
        <f>HLOOKUP($C$3,EIR!$C$3:$J$20,A10,FALSE)</f>
        <v>148586905.09831813</v>
      </c>
      <c r="D10" s="463">
        <f>+D9-C10</f>
        <v>73289474.101991773</v>
      </c>
      <c r="E10" s="463">
        <f>HLOOKUP(E$3,EIR!$C$3:$J$20,$A10,FALSE)</f>
        <v>172322486.34510347</v>
      </c>
      <c r="F10" s="463">
        <f>+F9-E10</f>
        <v>81407185.168089837</v>
      </c>
      <c r="G10" s="464">
        <f t="shared" si="0"/>
        <v>23735581.246785343</v>
      </c>
      <c r="H10" s="465">
        <f t="shared" si="1"/>
        <v>23.735581246785344</v>
      </c>
      <c r="I10" s="464">
        <f t="shared" si="2"/>
        <v>23735581.246785343</v>
      </c>
      <c r="J10" s="464" t="str">
        <f t="shared" si="3"/>
        <v/>
      </c>
      <c r="K10" s="466">
        <f t="shared" si="4"/>
        <v>0.15974207976860275</v>
      </c>
      <c r="L10" s="466">
        <f t="shared" si="5"/>
        <v>0.15974207976860275</v>
      </c>
      <c r="M10" s="466" t="str">
        <f t="shared" si="6"/>
        <v/>
      </c>
      <c r="N10" s="468">
        <f t="shared" si="7"/>
        <v>0.2876934908863556</v>
      </c>
      <c r="O10" s="468">
        <f t="shared" si="8"/>
        <v>0.31215074962890621</v>
      </c>
      <c r="P10" s="469">
        <f t="shared" si="9"/>
        <v>2.4457258742550614E-2</v>
      </c>
      <c r="Q10">
        <f t="shared" si="14"/>
        <v>9</v>
      </c>
      <c r="R10" s="217" t="s">
        <v>50</v>
      </c>
      <c r="S10" s="217" t="s">
        <v>143</v>
      </c>
      <c r="T10" s="463">
        <f>HLOOKUP(T$3,ESF!$C$3:$J$36,$Q10,FALSE)</f>
        <v>143014538.95417324</v>
      </c>
      <c r="U10" s="463">
        <f>HLOOKUP(U$3,ESF!$C$3:$J$36,$Q10,FALSE)</f>
        <v>146685745.0573121</v>
      </c>
      <c r="V10" s="463">
        <f t="shared" si="10"/>
        <v>3671206.103138864</v>
      </c>
      <c r="W10" s="469">
        <f t="shared" si="11"/>
        <v>0.44345815049537307</v>
      </c>
      <c r="X10" s="469">
        <f t="shared" si="12"/>
        <v>0.44181306739453818</v>
      </c>
      <c r="Y10" s="469">
        <f t="shared" si="13"/>
        <v>-1.6450831008348876E-3</v>
      </c>
      <c r="AA10" s="489" t="s">
        <v>175</v>
      </c>
      <c r="AB10" s="492">
        <f t="array" ref="AB10">INDEX('Unpivot ratios'!$C$1:$C$500,MATCH(1,('Unpivot ratios'!$A$1:$A$500=$AA10)*('Unpivot ratios'!$B$1:$B$500=AB$3),0))</f>
        <v>-0.179974832804914</v>
      </c>
      <c r="AC10" s="492">
        <f t="array" ref="AC10">INDEX('Unpivot ratios'!$C$1:$C$500,MATCH(1,('Unpivot ratios'!$A$1:$A$500=$AA10)*('Unpivot ratios'!$B$1:$B$500=AC$3),0))</f>
        <v>-7.9862951020207795E-2</v>
      </c>
      <c r="AD10" s="492">
        <f t="shared" si="15"/>
        <v>0.1001118817847062</v>
      </c>
      <c r="AE10" t="str">
        <f t="shared" si="16"/>
        <v>-8,0% (▲ +10,0 pp)</v>
      </c>
    </row>
    <row r="11" spans="1:31" ht="16" thickBot="1" x14ac:dyDescent="0.4">
      <c r="A11">
        <v>10</v>
      </c>
      <c r="B11" s="275" t="s">
        <v>19</v>
      </c>
      <c r="C11" s="463">
        <f>HLOOKUP($C$3,EIR!$C$3:$J$20,A11,FALSE)</f>
        <v>73289474.101991773</v>
      </c>
      <c r="D11" s="463">
        <f>C11</f>
        <v>73289474.101991773</v>
      </c>
      <c r="E11" s="463">
        <f>HLOOKUP(E$3,EIR!$C$3:$J$20,$A11,FALSE)</f>
        <v>81407185.168089852</v>
      </c>
      <c r="F11" s="463">
        <f>E11</f>
        <v>81407185.168089852</v>
      </c>
      <c r="G11" s="464">
        <f t="shared" si="0"/>
        <v>8117711.0660980791</v>
      </c>
      <c r="H11" s="465">
        <f t="shared" si="1"/>
        <v>8.1177110660980798</v>
      </c>
      <c r="I11" s="464">
        <f t="shared" si="2"/>
        <v>8117711.0660980791</v>
      </c>
      <c r="J11" s="464" t="str">
        <f t="shared" si="3"/>
        <v/>
      </c>
      <c r="K11" s="466">
        <f t="shared" si="4"/>
        <v>0.11076230475881482</v>
      </c>
      <c r="L11" s="466">
        <f t="shared" si="5"/>
        <v>0.11076230475881482</v>
      </c>
      <c r="M11" s="466" t="str">
        <f t="shared" si="6"/>
        <v/>
      </c>
      <c r="N11" s="468">
        <f t="shared" si="7"/>
        <v>0.14190284558168528</v>
      </c>
      <c r="O11" s="468">
        <f t="shared" si="8"/>
        <v>0.14746371419286619</v>
      </c>
      <c r="P11" s="469">
        <f t="shared" si="9"/>
        <v>5.560868611180908E-3</v>
      </c>
      <c r="Q11">
        <f t="shared" si="14"/>
        <v>10</v>
      </c>
      <c r="R11" s="201" t="s">
        <v>51</v>
      </c>
      <c r="S11" s="201" t="s">
        <v>144</v>
      </c>
      <c r="T11" s="463">
        <f>HLOOKUP(T$3,ESF!$C$3:$J$36,$Q11,FALSE)</f>
        <v>66677.885485494393</v>
      </c>
      <c r="U11" s="463">
        <f>HLOOKUP(U$3,ESF!$C$3:$J$36,$Q11,FALSE)</f>
        <v>6403261.7893684134</v>
      </c>
      <c r="V11" s="463">
        <f t="shared" si="10"/>
        <v>6336583.9038829189</v>
      </c>
      <c r="W11" s="469">
        <f t="shared" si="11"/>
        <v>2.0675416634258773E-4</v>
      </c>
      <c r="X11" s="469">
        <f t="shared" si="12"/>
        <v>1.9286432579973957E-2</v>
      </c>
      <c r="Y11" s="469">
        <f t="shared" si="13"/>
        <v>1.9079678413631368E-2</v>
      </c>
      <c r="AA11" s="489" t="s">
        <v>17</v>
      </c>
      <c r="AB11" s="494">
        <f t="array" ref="AB11">INDEX('Unpivot ratios'!$C$1:$C$500,MATCH(1,('Unpivot ratios'!$A$1:$A$500=$AA11)*('Unpivot ratios'!$B$1:$B$500=AB$3),0))</f>
        <v>221876379.2003099</v>
      </c>
      <c r="AC11" s="494">
        <f t="array" ref="AC11">INDEX('Unpivot ratios'!$C$1:$C$500,MATCH(1,('Unpivot ratios'!$A$1:$A$500=$AA11)*('Unpivot ratios'!$B$1:$B$500=AC$3),0))</f>
        <v>253729671.51319331</v>
      </c>
      <c r="AD11" s="494">
        <f t="shared" si="15"/>
        <v>31853292.312883407</v>
      </c>
    </row>
    <row r="12" spans="1:31" ht="16" thickBot="1" x14ac:dyDescent="0.4">
      <c r="A12">
        <v>11</v>
      </c>
      <c r="B12" s="179" t="s">
        <v>20</v>
      </c>
      <c r="C12" s="463">
        <f>HLOOKUP($C$3,EIR!$C$3:$J$20,A12,FALSE)</f>
        <v>18404366.44895808</v>
      </c>
      <c r="D12" s="463">
        <f>+D11-C12</f>
        <v>54885107.653033689</v>
      </c>
      <c r="E12" s="463">
        <f>HLOOKUP(E$3,EIR!$C$3:$J$20,$A12,FALSE)</f>
        <v>19000538.502961766</v>
      </c>
      <c r="F12" s="463">
        <f>+F11-E12</f>
        <v>62406646.665128082</v>
      </c>
      <c r="G12" s="464">
        <f t="shared" si="0"/>
        <v>596172.05400368571</v>
      </c>
      <c r="H12" s="465">
        <f t="shared" si="1"/>
        <v>0.59617205400368567</v>
      </c>
      <c r="I12" s="464">
        <f t="shared" si="2"/>
        <v>596172.05400368571</v>
      </c>
      <c r="J12" s="464" t="str">
        <f t="shared" si="3"/>
        <v/>
      </c>
      <c r="K12" s="466">
        <f t="shared" si="4"/>
        <v>3.2392968030553235E-2</v>
      </c>
      <c r="L12" s="466">
        <f t="shared" si="5"/>
        <v>3.2392968030553235E-2</v>
      </c>
      <c r="M12" s="466" t="str">
        <f t="shared" si="6"/>
        <v/>
      </c>
      <c r="N12" s="468">
        <f t="shared" si="7"/>
        <v>3.5634475512825003E-2</v>
      </c>
      <c r="O12" s="468">
        <f t="shared" si="8"/>
        <v>3.4418214725468653E-2</v>
      </c>
      <c r="P12" s="469">
        <f t="shared" si="9"/>
        <v>-1.2162607873563505E-3</v>
      </c>
      <c r="Q12">
        <f t="shared" si="14"/>
        <v>11</v>
      </c>
      <c r="R12" s="201" t="s">
        <v>52</v>
      </c>
      <c r="S12" s="201" t="s">
        <v>139</v>
      </c>
      <c r="T12" s="463">
        <f>HLOOKUP(T$3,ESF!$C$3:$J$36,$Q12,FALSE)</f>
        <v>12899948.245260313</v>
      </c>
      <c r="U12" s="463">
        <f>HLOOKUP(U$3,ESF!$C$3:$J$36,$Q12,FALSE)</f>
        <v>22195245.788137548</v>
      </c>
      <c r="V12" s="463">
        <f t="shared" si="10"/>
        <v>9295297.5428772345</v>
      </c>
      <c r="W12" s="469">
        <f t="shared" si="11"/>
        <v>4.0000039381745969E-2</v>
      </c>
      <c r="X12" s="469">
        <f t="shared" si="12"/>
        <v>6.6851415039691553E-2</v>
      </c>
      <c r="Y12" s="469">
        <f t="shared" si="13"/>
        <v>2.6851375657945584E-2</v>
      </c>
      <c r="AA12" s="489" t="s">
        <v>176</v>
      </c>
      <c r="AB12" s="492">
        <f t="array" ref="AB12">INDEX('Unpivot ratios'!$C$1:$C$500,MATCH(1,('Unpivot ratios'!$A$1:$A$500=$AA12)*('Unpivot ratios'!$B$1:$B$500=AB$3),0))</f>
        <v>0.42959633646804091</v>
      </c>
      <c r="AC12" s="492">
        <f t="array" ref="AC12">INDEX('Unpivot ratios'!$C$1:$C$500,MATCH(1,('Unpivot ratios'!$A$1:$A$500=$AA12)*('Unpivot ratios'!$B$1:$B$500=AC$3),0))</f>
        <v>0.4596144638217724</v>
      </c>
      <c r="AD12" s="492">
        <f t="shared" si="15"/>
        <v>3.0018127353731494E-2</v>
      </c>
      <c r="AE12" t="str">
        <f t="shared" ref="AE12:AE13" si="18">TEXT(AC12,"0,0%")&amp;" ("&amp;IF(AD12&gt;0,"▲ ","▼ ")&amp;TEXT(AD12*100,"+0,0"" pp"";-0,0"" pp"";0"" pp""")&amp;")"</f>
        <v>46,0% (▲ +3,0 pp)</v>
      </c>
    </row>
    <row r="13" spans="1:31" ht="16.5" thickTop="1" thickBot="1" x14ac:dyDescent="0.4">
      <c r="A13">
        <v>12</v>
      </c>
      <c r="B13" s="270" t="s">
        <v>21</v>
      </c>
      <c r="C13" s="463">
        <f>HLOOKUP($C$3,EIR!$C$3:$J$20,A13,FALSE)</f>
        <v>54885107.653033689</v>
      </c>
      <c r="D13" s="463">
        <f>C13</f>
        <v>54885107.653033689</v>
      </c>
      <c r="E13" s="463">
        <f>HLOOKUP(E$3,EIR!$C$3:$J$20,$A13,FALSE)</f>
        <v>62406646.665128089</v>
      </c>
      <c r="F13" s="463">
        <f>E13</f>
        <v>62406646.665128089</v>
      </c>
      <c r="G13" s="464">
        <f t="shared" si="0"/>
        <v>7521539.0120944008</v>
      </c>
      <c r="H13" s="465">
        <f t="shared" si="1"/>
        <v>7.5215390120944008</v>
      </c>
      <c r="I13" s="464">
        <f t="shared" si="2"/>
        <v>7521539.0120944008</v>
      </c>
      <c r="J13" s="464" t="str">
        <f t="shared" si="3"/>
        <v/>
      </c>
      <c r="K13" s="466">
        <f t="shared" si="4"/>
        <v>0.13704152790668089</v>
      </c>
      <c r="L13" s="466">
        <f t="shared" si="5"/>
        <v>0.13704152790668089</v>
      </c>
      <c r="M13" s="466" t="str">
        <f t="shared" si="6"/>
        <v/>
      </c>
      <c r="N13" s="468">
        <f t="shared" si="7"/>
        <v>0.10626837006886028</v>
      </c>
      <c r="O13" s="468">
        <f t="shared" si="8"/>
        <v>0.11304549946739753</v>
      </c>
      <c r="P13" s="469">
        <f t="shared" si="9"/>
        <v>6.7771293985372516E-3</v>
      </c>
      <c r="Q13">
        <f t="shared" si="14"/>
        <v>12</v>
      </c>
      <c r="R13" s="201" t="s">
        <v>53</v>
      </c>
      <c r="S13" s="201" t="s">
        <v>145</v>
      </c>
      <c r="T13" s="463">
        <f>HLOOKUP(T$3,ESF!$C$3:$J$36,$Q13,FALSE)</f>
        <v>15604530.286048129</v>
      </c>
      <c r="U13" s="463">
        <f>HLOOKUP(U$3,ESF!$C$3:$J$36,$Q13,FALSE)</f>
        <v>16584352.642510962</v>
      </c>
      <c r="V13" s="463">
        <f t="shared" si="10"/>
        <v>979822.35646283254</v>
      </c>
      <c r="W13" s="469">
        <f t="shared" si="11"/>
        <v>4.8386382186061026E-2</v>
      </c>
      <c r="X13" s="469">
        <f t="shared" si="12"/>
        <v>4.9951573064428677E-2</v>
      </c>
      <c r="Y13" s="469">
        <f t="shared" si="13"/>
        <v>1.5651908783676505E-3</v>
      </c>
      <c r="AA13" s="489" t="s">
        <v>177</v>
      </c>
      <c r="AB13" s="492">
        <f t="array" ref="AB13">INDEX('Unpivot ratios'!$C$1:$C$500,MATCH(1,('Unpivot ratios'!$A$1:$A$500=$AA13)*('Unpivot ratios'!$B$1:$B$500=AB$3),0))</f>
        <v>-0.17382674360122219</v>
      </c>
      <c r="AC13" s="492">
        <f t="array" ref="AC13">INDEX('Unpivot ratios'!$C$1:$C$500,MATCH(1,('Unpivot ratios'!$A$1:$A$500=$AA13)*('Unpivot ratios'!$B$1:$B$500=AC$3),0))</f>
        <v>-8.1437977573240339E-2</v>
      </c>
      <c r="AD13" s="492">
        <f t="shared" si="15"/>
        <v>9.238876602798185E-2</v>
      </c>
      <c r="AE13" t="str">
        <f t="shared" si="18"/>
        <v>-8,1% (▲ +9,2 pp)</v>
      </c>
    </row>
    <row r="14" spans="1:31" ht="16" thickBot="1" x14ac:dyDescent="0.4">
      <c r="A14">
        <v>13</v>
      </c>
      <c r="B14" s="167" t="s">
        <v>22</v>
      </c>
      <c r="C14" s="463">
        <f>HLOOKUP($C$3,EIR!$C$3:$J$20,A14,FALSE)</f>
        <v>13083153.673475219</v>
      </c>
      <c r="D14" s="463">
        <f>+D13-C14</f>
        <v>41801953.979558468</v>
      </c>
      <c r="E14" s="463">
        <f>HLOOKUP(E$3,EIR!$C$3:$J$20,$A14,FALSE)</f>
        <v>13685975.844295716</v>
      </c>
      <c r="F14" s="463">
        <f>+F13-E14</f>
        <v>48720670.820832372</v>
      </c>
      <c r="G14" s="464">
        <f t="shared" si="0"/>
        <v>602822.17082049698</v>
      </c>
      <c r="H14" s="465">
        <f t="shared" si="1"/>
        <v>0.60282217082049694</v>
      </c>
      <c r="I14" s="464">
        <f t="shared" si="2"/>
        <v>602822.17082049698</v>
      </c>
      <c r="J14" s="464" t="str">
        <f t="shared" si="3"/>
        <v/>
      </c>
      <c r="K14" s="466">
        <f t="shared" si="4"/>
        <v>4.6076212652203151E-2</v>
      </c>
      <c r="L14" s="466">
        <f t="shared" si="5"/>
        <v>4.6076212652203151E-2</v>
      </c>
      <c r="M14" s="466" t="str">
        <f t="shared" si="6"/>
        <v/>
      </c>
      <c r="N14" s="468">
        <f t="shared" si="7"/>
        <v>2.5331560339278761E-2</v>
      </c>
      <c r="O14" s="468">
        <f t="shared" si="8"/>
        <v>2.4791237114838677E-2</v>
      </c>
      <c r="P14" s="469">
        <f t="shared" si="9"/>
        <v>-5.4032322444008338E-4</v>
      </c>
      <c r="Q14">
        <f t="shared" si="14"/>
        <v>13</v>
      </c>
      <c r="R14" s="207" t="s">
        <v>54</v>
      </c>
      <c r="S14" s="207" t="s">
        <v>146</v>
      </c>
      <c r="T14" s="463">
        <f>HLOOKUP(T$3,ESF!$C$3:$J$36,$Q14,FALSE)</f>
        <v>43520338.342641778</v>
      </c>
      <c r="U14" s="463">
        <f>HLOOKUP(U$3,ESF!$C$3:$J$36,$Q14,FALSE)</f>
        <v>25957996.768982232</v>
      </c>
      <c r="V14" s="463">
        <f t="shared" si="10"/>
        <v>-17562341.573659547</v>
      </c>
      <c r="W14" s="469">
        <f t="shared" si="11"/>
        <v>0.13494745982815776</v>
      </c>
      <c r="X14" s="469">
        <f t="shared" si="12"/>
        <v>7.8184708210335102E-2</v>
      </c>
      <c r="Y14" s="469">
        <f t="shared" si="13"/>
        <v>-5.6762751617822654E-2</v>
      </c>
      <c r="AA14" s="489" t="s">
        <v>19</v>
      </c>
      <c r="AB14" s="494">
        <f t="array" ref="AB14">INDEX('Unpivot ratios'!$C$1:$C$500,MATCH(1,('Unpivot ratios'!$A$1:$A$500=$AA14)*('Unpivot ratios'!$B$1:$B$500=AB$3),0))</f>
        <v>73289474.101991773</v>
      </c>
      <c r="AC14" s="494">
        <f t="array" ref="AC14">INDEX('Unpivot ratios'!$C$1:$C$500,MATCH(1,('Unpivot ratios'!$A$1:$A$500=$AA14)*('Unpivot ratios'!$B$1:$B$500=AC$3),0))</f>
        <v>81407185.168089852</v>
      </c>
      <c r="AD14" s="494">
        <f t="shared" si="15"/>
        <v>8117711.0660980791</v>
      </c>
    </row>
    <row r="15" spans="1:31" ht="19" thickTop="1" thickBot="1" x14ac:dyDescent="0.4">
      <c r="A15">
        <v>14</v>
      </c>
      <c r="B15" s="167" t="s">
        <v>31</v>
      </c>
      <c r="C15" s="463">
        <f>HLOOKUP($C$3,EIR!$C$3:$J$20,A15,FALSE)</f>
        <v>6590950.2233709171</v>
      </c>
      <c r="D15" s="463">
        <f>+D14+C15</f>
        <v>48392904.202929385</v>
      </c>
      <c r="E15" s="463">
        <f>HLOOKUP(E$3,EIR!$C$3:$J$20,$A15,FALSE)</f>
        <v>2182937.1490114625</v>
      </c>
      <c r="F15" s="463">
        <f>+F14+E15</f>
        <v>50903607.969843835</v>
      </c>
      <c r="G15" s="464">
        <f t="shared" si="0"/>
        <v>-4408013.0743594542</v>
      </c>
      <c r="H15" s="465">
        <f t="shared" si="1"/>
        <v>-4.4080130743594541</v>
      </c>
      <c r="I15" s="464" t="str">
        <f t="shared" si="2"/>
        <v/>
      </c>
      <c r="J15" s="464">
        <f t="shared" si="3"/>
        <v>-4408013.0743594542</v>
      </c>
      <c r="K15" s="466">
        <f t="shared" si="4"/>
        <v>-0.66879780987103132</v>
      </c>
      <c r="L15" s="466" t="str">
        <f t="shared" si="5"/>
        <v/>
      </c>
      <c r="M15" s="466">
        <f t="shared" si="6"/>
        <v>-0.66879780987103132</v>
      </c>
      <c r="N15" s="468">
        <f t="shared" si="7"/>
        <v>1.2761376763080904E-2</v>
      </c>
      <c r="O15" s="468">
        <f t="shared" si="8"/>
        <v>3.9542457975687015E-3</v>
      </c>
      <c r="P15" s="469">
        <f t="shared" si="9"/>
        <v>-8.8071309655122013E-3</v>
      </c>
      <c r="Q15">
        <f t="shared" si="14"/>
        <v>14</v>
      </c>
      <c r="R15" s="212" t="s">
        <v>55</v>
      </c>
      <c r="S15" s="212"/>
      <c r="T15" s="463">
        <f>HLOOKUP(T$3,ESF!$C$3:$J$36,$Q15,FALSE)</f>
        <v>322498388.61776745</v>
      </c>
      <c r="U15" s="463">
        <f>HLOOKUP(U$3,ESF!$C$3:$J$36,$Q15,FALSE)</f>
        <v>332008616.04738826</v>
      </c>
      <c r="V15" s="463">
        <f t="shared" si="10"/>
        <v>9510227.4296208024</v>
      </c>
      <c r="W15" s="469">
        <f t="shared" si="11"/>
        <v>1</v>
      </c>
      <c r="X15" s="469">
        <f t="shared" si="12"/>
        <v>1</v>
      </c>
      <c r="Y15" s="469">
        <f t="shared" si="13"/>
        <v>0</v>
      </c>
      <c r="AA15" s="489" t="s">
        <v>178</v>
      </c>
      <c r="AB15" s="492">
        <f t="array" ref="AB15">INDEX('Unpivot ratios'!$C$1:$C$500,MATCH(1,('Unpivot ratios'!$A$1:$A$500=$AA15)*('Unpivot ratios'!$B$1:$B$500=AB$3),0))</f>
        <v>0.14190284558168528</v>
      </c>
      <c r="AC15" s="492">
        <f t="array" ref="AC15">INDEX('Unpivot ratios'!$C$1:$C$500,MATCH(1,('Unpivot ratios'!$A$1:$A$500=$AA15)*('Unpivot ratios'!$B$1:$B$500=AC$3),0))</f>
        <v>0.14746371419286619</v>
      </c>
      <c r="AD15" s="492">
        <f t="shared" si="15"/>
        <v>5.560868611180908E-3</v>
      </c>
      <c r="AE15" t="str">
        <f t="shared" ref="AE15:AE16" si="19">TEXT(AC15,"0,0%")&amp;" ("&amp;IF(AD15&gt;0,"▲ ","▼ ")&amp;TEXT(AD15*100,"+0,0"" pp"";-0,0"" pp"";0"" pp""")&amp;")"</f>
        <v>14,7% (▲ +0,6 pp)</v>
      </c>
    </row>
    <row r="16" spans="1:31" ht="18.5" thickBot="1" x14ac:dyDescent="0.4">
      <c r="A16">
        <v>15</v>
      </c>
      <c r="B16" s="167" t="s">
        <v>32</v>
      </c>
      <c r="C16" s="463">
        <f>HLOOKUP($C$3,EIR!$C$3:$J$20,A16,FALSE)</f>
        <v>12894550.511673395</v>
      </c>
      <c r="D16" s="463">
        <f>+D15-C16</f>
        <v>35498353.691255987</v>
      </c>
      <c r="E16" s="463">
        <f>HLOOKUP(E$3,EIR!$C$3:$J$20,$A16,FALSE)</f>
        <v>18314331.871682435</v>
      </c>
      <c r="F16" s="463">
        <f>+F15-E16</f>
        <v>32589276.098161399</v>
      </c>
      <c r="G16" s="464">
        <f t="shared" si="0"/>
        <v>5419781.3600090407</v>
      </c>
      <c r="H16" s="465">
        <f t="shared" si="1"/>
        <v>5.4197813600090408</v>
      </c>
      <c r="I16" s="464">
        <f t="shared" si="2"/>
        <v>5419781.3600090407</v>
      </c>
      <c r="J16" s="464" t="str">
        <f t="shared" si="3"/>
        <v/>
      </c>
      <c r="K16" s="466">
        <f t="shared" si="4"/>
        <v>0.42031564846735298</v>
      </c>
      <c r="L16" s="466">
        <f t="shared" si="5"/>
        <v>0.42031564846735298</v>
      </c>
      <c r="M16" s="466" t="str">
        <f t="shared" si="6"/>
        <v/>
      </c>
      <c r="N16" s="468">
        <f t="shared" si="7"/>
        <v>2.4966387500023054E-2</v>
      </c>
      <c r="O16" s="468">
        <f t="shared" si="8"/>
        <v>3.3175196945855141E-2</v>
      </c>
      <c r="P16" s="469">
        <f t="shared" si="9"/>
        <v>8.2088094458320875E-3</v>
      </c>
      <c r="Q16">
        <f t="shared" si="14"/>
        <v>15</v>
      </c>
      <c r="R16" s="193" t="s">
        <v>3</v>
      </c>
      <c r="S16" s="193"/>
      <c r="T16" s="463"/>
      <c r="U16" s="463"/>
      <c r="V16" s="463"/>
      <c r="W16" s="468"/>
      <c r="X16" s="468"/>
      <c r="Y16" s="469"/>
      <c r="AA16" s="489" t="s">
        <v>179</v>
      </c>
      <c r="AB16" s="492">
        <f t="array" ref="AB16">INDEX('Unpivot ratios'!$C$1:$C$500,MATCH(1,('Unpivot ratios'!$A$1:$A$500=$AA16)*('Unpivot ratios'!$B$1:$B$500=AB$3),0))</f>
        <v>-2.31418237172345E-2</v>
      </c>
      <c r="AC16" s="492">
        <f t="array" ref="AC16">INDEX('Unpivot ratios'!$C$1:$C$500,MATCH(1,('Unpivot ratios'!$A$1:$A$500=$AA16)*('Unpivot ratios'!$B$1:$B$500=AC$3),0))</f>
        <v>-9.4146757823213578E-2</v>
      </c>
      <c r="AD16" s="492">
        <f t="shared" si="15"/>
        <v>-7.1004934105979078E-2</v>
      </c>
      <c r="AE16" t="str">
        <f t="shared" si="19"/>
        <v>-9,4% (▼ -7,1 pp)</v>
      </c>
    </row>
    <row r="17" spans="1:31" ht="16" thickBot="1" x14ac:dyDescent="0.4">
      <c r="A17">
        <v>16</v>
      </c>
      <c r="B17" s="270" t="s">
        <v>28</v>
      </c>
      <c r="C17" s="463">
        <f>HLOOKUP($C$3,EIR!$C$3:$J$20,A17,FALSE)</f>
        <v>35498353.691255987</v>
      </c>
      <c r="D17" s="463">
        <f>C17</f>
        <v>35498353.691255987</v>
      </c>
      <c r="E17" s="463">
        <f>HLOOKUP(E$3,EIR!$C$3:$J$20,$A17,FALSE)</f>
        <v>32589276.098161399</v>
      </c>
      <c r="F17" s="463">
        <f>E17</f>
        <v>32589276.098161399</v>
      </c>
      <c r="G17" s="464">
        <f t="shared" si="0"/>
        <v>-2909077.5930945873</v>
      </c>
      <c r="H17" s="465">
        <f t="shared" si="1"/>
        <v>-2.9090775930945871</v>
      </c>
      <c r="I17" s="464" t="str">
        <f t="shared" si="2"/>
        <v/>
      </c>
      <c r="J17" s="464">
        <f t="shared" si="3"/>
        <v>-2909077.5930945873</v>
      </c>
      <c r="K17" s="466">
        <f t="shared" si="4"/>
        <v>-8.1949648099065395E-2</v>
      </c>
      <c r="L17" s="466" t="str">
        <f t="shared" si="5"/>
        <v/>
      </c>
      <c r="M17" s="466">
        <f t="shared" si="6"/>
        <v>-8.1949648099065395E-2</v>
      </c>
      <c r="N17" s="468">
        <f t="shared" si="7"/>
        <v>6.8731798992639356E-2</v>
      </c>
      <c r="O17" s="468">
        <f t="shared" si="8"/>
        <v>5.9033311204272416E-2</v>
      </c>
      <c r="P17" s="469">
        <f t="shared" si="9"/>
        <v>-9.6984877883669399E-3</v>
      </c>
      <c r="Q17">
        <f t="shared" si="14"/>
        <v>16</v>
      </c>
      <c r="R17" s="196" t="s">
        <v>56</v>
      </c>
      <c r="S17" s="196" t="s">
        <v>149</v>
      </c>
      <c r="T17" s="463">
        <f>HLOOKUP(T$3,ESF!$C$3:$J$36,$Q17,FALSE)</f>
        <v>23796384.788551725</v>
      </c>
      <c r="U17" s="463">
        <f>HLOOKUP(U$3,ESF!$C$3:$J$36,$Q17,FALSE)</f>
        <v>29259789.214554965</v>
      </c>
      <c r="V17" s="463">
        <f t="shared" si="10"/>
        <v>5463404.42600324</v>
      </c>
      <c r="W17" s="469">
        <f t="shared" si="11"/>
        <v>7.3787608336721808E-2</v>
      </c>
      <c r="X17" s="469">
        <f t="shared" si="12"/>
        <v>8.812960808938361E-2</v>
      </c>
      <c r="Y17" s="469">
        <f t="shared" si="13"/>
        <v>1.4341999752661802E-2</v>
      </c>
      <c r="AA17" s="489" t="s">
        <v>180</v>
      </c>
      <c r="AB17" s="494">
        <f t="array" ref="AB17">INDEX('Unpivot ratios'!$C$1:$C$500,MATCH(1,('Unpivot ratios'!$A$1:$A$500=$AA17)*('Unpivot ratios'!$B$1:$B$500=AB$3),0))</f>
        <v>54885107.653033689</v>
      </c>
      <c r="AC17" s="494">
        <f t="array" ref="AC17">INDEX('Unpivot ratios'!$C$1:$C$500,MATCH(1,('Unpivot ratios'!$A$1:$A$500=$AA17)*('Unpivot ratios'!$B$1:$B$500=AC$3),0))</f>
        <v>62406646.665128089</v>
      </c>
      <c r="AD17" s="494">
        <f t="shared" si="15"/>
        <v>7521539.0120944008</v>
      </c>
    </row>
    <row r="18" spans="1:31" ht="16" thickBot="1" x14ac:dyDescent="0.4">
      <c r="A18">
        <v>17</v>
      </c>
      <c r="B18" s="179" t="s">
        <v>29</v>
      </c>
      <c r="C18" s="463">
        <f>HLOOKUP($C$3,EIR!$C$3:$J$20,A18,FALSE)</f>
        <v>15136197.518947633</v>
      </c>
      <c r="D18" s="463">
        <f>+D17-C18</f>
        <v>20362156.172308356</v>
      </c>
      <c r="E18" s="463">
        <f>HLOOKUP(E$3,EIR!$C$3:$J$20,$A18,FALSE)</f>
        <v>3971074.6980536962</v>
      </c>
      <c r="F18" s="463">
        <f>+F17-E18</f>
        <v>28618201.400107704</v>
      </c>
      <c r="G18" s="464">
        <f t="shared" si="0"/>
        <v>-11165122.820893936</v>
      </c>
      <c r="H18" s="465">
        <f t="shared" si="1"/>
        <v>-11.165122820893936</v>
      </c>
      <c r="I18" s="464" t="str">
        <f t="shared" si="2"/>
        <v/>
      </c>
      <c r="J18" s="464">
        <f t="shared" si="3"/>
        <v>-11165122.820893936</v>
      </c>
      <c r="K18" s="466">
        <f t="shared" si="4"/>
        <v>-0.73764383735857908</v>
      </c>
      <c r="L18" s="466" t="str">
        <f t="shared" si="5"/>
        <v/>
      </c>
      <c r="M18" s="466">
        <f t="shared" si="6"/>
        <v>-0.73764383735857908</v>
      </c>
      <c r="N18" s="468">
        <f t="shared" si="7"/>
        <v>2.9306657272994974E-2</v>
      </c>
      <c r="O18" s="468">
        <f t="shared" si="8"/>
        <v>7.1933383165525928E-3</v>
      </c>
      <c r="P18" s="469">
        <f t="shared" si="9"/>
        <v>-2.211331895644238E-2</v>
      </c>
      <c r="Q18">
        <f t="shared" si="14"/>
        <v>17</v>
      </c>
      <c r="R18" s="201" t="s">
        <v>57</v>
      </c>
      <c r="S18" s="201" t="s">
        <v>157</v>
      </c>
      <c r="T18" s="463">
        <f>HLOOKUP(T$3,ESF!$C$3:$J$36,$Q18,FALSE)</f>
        <v>8904990.3634579796</v>
      </c>
      <c r="U18" s="463">
        <f>HLOOKUP(U$3,ESF!$C$3:$J$36,$Q18,FALSE)</f>
        <v>21871220.863143317</v>
      </c>
      <c r="V18" s="463">
        <f t="shared" si="10"/>
        <v>12966230.499685338</v>
      </c>
      <c r="W18" s="469">
        <f t="shared" si="11"/>
        <v>2.7612511186877214E-2</v>
      </c>
      <c r="X18" s="469">
        <f t="shared" si="12"/>
        <v>6.5875461677842709E-2</v>
      </c>
      <c r="Y18" s="469">
        <f t="shared" si="13"/>
        <v>3.8262950490965494E-2</v>
      </c>
      <c r="AA18" s="489" t="s">
        <v>181</v>
      </c>
      <c r="AB18" s="492">
        <f t="array" ref="AB18">INDEX('Unpivot ratios'!$C$1:$C$500,MATCH(1,('Unpivot ratios'!$A$1:$A$500=$AA18)*('Unpivot ratios'!$B$1:$B$500=AB$3),0))</f>
        <v>0.10626837006886028</v>
      </c>
      <c r="AC18" s="492">
        <f t="array" ref="AC18">INDEX('Unpivot ratios'!$C$1:$C$500,MATCH(1,('Unpivot ratios'!$A$1:$A$500=$AA18)*('Unpivot ratios'!$B$1:$B$500=AC$3),0))</f>
        <v>0.11304549946739753</v>
      </c>
      <c r="AD18" s="492">
        <f t="shared" si="15"/>
        <v>6.7771293985372516E-3</v>
      </c>
      <c r="AE18" t="str">
        <f t="shared" ref="AE18:AE19" si="20">TEXT(AC18,"0,0%")&amp;" ("&amp;IF(AD18&gt;0,"▲ ","▼ ")&amp;TEXT(AD18*100,"+0,0"" pp"";-0,0"" pp"";0"" pp""")&amp;")"</f>
        <v>11,3% (▲ +0,7 pp)</v>
      </c>
    </row>
    <row r="19" spans="1:31" ht="16.5" thickTop="1" thickBot="1" x14ac:dyDescent="0.4">
      <c r="A19">
        <v>18</v>
      </c>
      <c r="B19" s="270" t="s">
        <v>30</v>
      </c>
      <c r="C19" s="463">
        <f>HLOOKUP($C$3,EIR!$C$3:$J$20,A19,FALSE)</f>
        <v>20362156.172308356</v>
      </c>
      <c r="D19" s="463">
        <f>C19</f>
        <v>20362156.172308356</v>
      </c>
      <c r="E19" s="463">
        <f>HLOOKUP(E$3,EIR!$C$3:$J$20,$A19,FALSE)</f>
        <v>28618201.4001077</v>
      </c>
      <c r="F19" s="463">
        <f>E19</f>
        <v>28618201.4001077</v>
      </c>
      <c r="G19" s="464">
        <f t="shared" si="0"/>
        <v>8256045.2277993448</v>
      </c>
      <c r="H19" s="465">
        <f t="shared" si="1"/>
        <v>8.2560452277993441</v>
      </c>
      <c r="I19" s="464">
        <f t="shared" si="2"/>
        <v>8256045.2277993448</v>
      </c>
      <c r="J19" s="464" t="str">
        <f t="shared" si="3"/>
        <v/>
      </c>
      <c r="K19" s="466">
        <f t="shared" si="4"/>
        <v>0.40546026451890227</v>
      </c>
      <c r="L19" s="466">
        <f t="shared" si="5"/>
        <v>0.40546026451890227</v>
      </c>
      <c r="M19" s="466" t="str">
        <f t="shared" si="6"/>
        <v/>
      </c>
      <c r="N19" s="468">
        <f t="shared" si="7"/>
        <v>3.9425141719644383E-2</v>
      </c>
      <c r="O19" s="468">
        <f t="shared" si="8"/>
        <v>5.1839972887719819E-2</v>
      </c>
      <c r="P19" s="469">
        <f t="shared" si="9"/>
        <v>1.2414831168075437E-2</v>
      </c>
      <c r="Q19">
        <f t="shared" si="14"/>
        <v>18</v>
      </c>
      <c r="R19" s="201" t="s">
        <v>58</v>
      </c>
      <c r="S19" s="201" t="s">
        <v>158</v>
      </c>
      <c r="T19" s="463">
        <f>HLOOKUP(T$3,ESF!$C$3:$J$36,$Q19,FALSE)</f>
        <v>0</v>
      </c>
      <c r="U19" s="463">
        <f>HLOOKUP(U$3,ESF!$C$3:$J$36,$Q19,FALSE)</f>
        <v>38613739.518424496</v>
      </c>
      <c r="V19" s="463">
        <f t="shared" si="10"/>
        <v>38613739.518424496</v>
      </c>
      <c r="W19" s="469">
        <f t="shared" si="11"/>
        <v>0</v>
      </c>
      <c r="X19" s="469">
        <f t="shared" si="12"/>
        <v>0.11630342603191081</v>
      </c>
      <c r="Y19" s="469">
        <f t="shared" si="13"/>
        <v>0.11630342603191081</v>
      </c>
      <c r="AA19" s="489" t="s">
        <v>182</v>
      </c>
      <c r="AB19" s="492">
        <f t="array" ref="AB19">INDEX('Unpivot ratios'!$C$1:$C$500,MATCH(1,('Unpivot ratios'!$A$1:$A$500=$AA19)*('Unpivot ratios'!$B$1:$B$500=AB$3),0))</f>
        <v>0.11272476997811132</v>
      </c>
      <c r="AC19" s="492">
        <f t="array" ref="AC19">INDEX('Unpivot ratios'!$C$1:$C$500,MATCH(1,('Unpivot ratios'!$A$1:$A$500=$AA19)*('Unpivot ratios'!$B$1:$B$500=AC$3),0))</f>
        <v>-0.1201901453326677</v>
      </c>
      <c r="AD19" s="492">
        <f t="shared" si="15"/>
        <v>-0.23291491531077901</v>
      </c>
      <c r="AE19" t="str">
        <f t="shared" si="20"/>
        <v>-12,0% (▼ -23,3 pp)</v>
      </c>
    </row>
    <row r="20" spans="1:31" ht="15.5" x14ac:dyDescent="0.35">
      <c r="N20" s="467"/>
      <c r="O20" s="467"/>
      <c r="P20" s="467"/>
      <c r="Q20">
        <f t="shared" si="14"/>
        <v>19</v>
      </c>
      <c r="R20" s="201" t="s">
        <v>59</v>
      </c>
      <c r="S20" s="201" t="s">
        <v>150</v>
      </c>
      <c r="T20" s="463">
        <f>HLOOKUP(T$3,ESF!$C$3:$J$36,$Q20,FALSE)</f>
        <v>0</v>
      </c>
      <c r="U20" s="463">
        <f>HLOOKUP(U$3,ESF!$C$3:$J$36,$Q20,FALSE)</f>
        <v>0</v>
      </c>
      <c r="V20" s="463">
        <f t="shared" si="10"/>
        <v>0</v>
      </c>
      <c r="W20" s="469">
        <f t="shared" si="11"/>
        <v>0</v>
      </c>
      <c r="X20" s="469">
        <f t="shared" si="12"/>
        <v>0</v>
      </c>
      <c r="Y20" s="469">
        <f t="shared" si="13"/>
        <v>0</v>
      </c>
      <c r="AA20" s="489" t="s">
        <v>30</v>
      </c>
      <c r="AB20" s="494">
        <f t="array" ref="AB20">INDEX('Unpivot ratios'!$C$1:$C$500,MATCH(1,('Unpivot ratios'!$A$1:$A$500=$AA20)*('Unpivot ratios'!$B$1:$B$500=AB$3),0))</f>
        <v>20362156.172308356</v>
      </c>
      <c r="AC20" s="494">
        <f t="array" ref="AC20">INDEX('Unpivot ratios'!$C$1:$C$500,MATCH(1,('Unpivot ratios'!$A$1:$A$500=$AA20)*('Unpivot ratios'!$B$1:$B$500=AC$3),0))</f>
        <v>28618201.4001077</v>
      </c>
      <c r="AD20" s="494">
        <f t="shared" si="15"/>
        <v>8256045.2277993448</v>
      </c>
    </row>
    <row r="21" spans="1:31" ht="15.5" x14ac:dyDescent="0.35">
      <c r="B21" s="460"/>
      <c r="C21" s="474">
        <f>C3</f>
        <v>2021</v>
      </c>
      <c r="D21" s="474">
        <f>E3</f>
        <v>2024</v>
      </c>
      <c r="E21" s="474" t="s">
        <v>133</v>
      </c>
      <c r="F21" s="474">
        <f>C21</f>
        <v>2021</v>
      </c>
      <c r="G21" s="474">
        <f>D21</f>
        <v>2024</v>
      </c>
      <c r="H21" s="474"/>
      <c r="Q21">
        <f t="shared" si="14"/>
        <v>20</v>
      </c>
      <c r="R21" s="201" t="s">
        <v>60</v>
      </c>
      <c r="S21" s="201" t="s">
        <v>151</v>
      </c>
      <c r="T21" s="463">
        <f>HLOOKUP(T$3,ESF!$C$3:$J$36,$Q21,FALSE)</f>
        <v>2905250.7247251123</v>
      </c>
      <c r="U21" s="463">
        <f>HLOOKUP(U$3,ESF!$C$3:$J$36,$Q21,FALSE)</f>
        <v>20623432.571736287</v>
      </c>
      <c r="V21" s="463">
        <f t="shared" si="10"/>
        <v>17718181.847011175</v>
      </c>
      <c r="W21" s="469">
        <f t="shared" si="11"/>
        <v>9.0085743906413215E-3</v>
      </c>
      <c r="X21" s="469">
        <f t="shared" si="12"/>
        <v>6.2117160744987E-2</v>
      </c>
      <c r="Y21" s="469">
        <f t="shared" si="13"/>
        <v>5.3108586354345677E-2</v>
      </c>
      <c r="AA21" s="489" t="s">
        <v>167</v>
      </c>
      <c r="AB21" s="492">
        <f t="array" ref="AB21">INDEX('Unpivot ratios'!$C$1:$C$500,MATCH(1,('Unpivot ratios'!$A$1:$A$500=$AA21)*('Unpivot ratios'!$B$1:$B$500=AB$3),0))</f>
        <v>3.9425141719644383E-2</v>
      </c>
      <c r="AC21" s="492">
        <f t="array" ref="AC21">INDEX('Unpivot ratios'!$C$1:$C$500,MATCH(1,('Unpivot ratios'!$A$1:$A$500=$AA21)*('Unpivot ratios'!$B$1:$B$500=AC$3),0))</f>
        <v>5.1839972887719819E-2</v>
      </c>
      <c r="AD21" s="492">
        <f t="shared" si="15"/>
        <v>1.2414831168075437E-2</v>
      </c>
      <c r="AE21" t="str">
        <f t="shared" ref="AE21:AE22" si="21">TEXT(AC21,"0,0%")&amp;" ("&amp;IF(AD21&gt;0,"▲ ","▼ ")&amp;TEXT(AD21*100,"+0,0"" pp"";-0,0"" pp"";0"" pp""")&amp;")"</f>
        <v>5,2% (▲ +1,2 pp)</v>
      </c>
    </row>
    <row r="22" spans="1:31" ht="16" thickBot="1" x14ac:dyDescent="0.4">
      <c r="A22" t="s">
        <v>13</v>
      </c>
      <c r="B22" t="s">
        <v>13</v>
      </c>
      <c r="C22" s="465">
        <f>IF(B22="","",SUMIFS('Unpivot EIR'!$D:$D,'Unpivot EIR'!$C:$C,C$21,'Unpivot EIR'!$B:$B,$B22)/1000000)</f>
        <v>570.03654600000004</v>
      </c>
      <c r="D22" s="465">
        <f>IF(C22="","",SUMIFS('Unpivot EIR'!$D:$D,'Unpivot EIR'!$C:$C,D$21,'Unpivot EIR'!$B:$B,$B22)/1000000)</f>
        <v>550.37618299999997</v>
      </c>
      <c r="E22" s="465">
        <f>IFERROR(D22-C22,"")</f>
        <v>-19.660363000000075</v>
      </c>
      <c r="F22" s="466"/>
      <c r="G22" s="466"/>
      <c r="Q22">
        <f t="shared" si="14"/>
        <v>21</v>
      </c>
      <c r="R22" s="207" t="s">
        <v>61</v>
      </c>
      <c r="S22" s="207" t="s">
        <v>152</v>
      </c>
      <c r="T22" s="463">
        <f>HLOOKUP(T$3,ESF!$C$3:$J$36,$Q22,FALSE)</f>
        <v>58734644.241729565</v>
      </c>
      <c r="U22" s="463">
        <f>HLOOKUP(U$3,ESF!$C$3:$J$36,$Q22,FALSE)</f>
        <v>72289868.451419339</v>
      </c>
      <c r="V22" s="463">
        <f t="shared" si="10"/>
        <v>13555224.209689774</v>
      </c>
      <c r="W22" s="469">
        <f t="shared" si="11"/>
        <v>0.18212383786929001</v>
      </c>
      <c r="X22" s="469">
        <f t="shared" si="12"/>
        <v>0.21773491697908606</v>
      </c>
      <c r="Y22" s="469">
        <f t="shared" si="13"/>
        <v>3.5611079109796051E-2</v>
      </c>
      <c r="AA22" s="489" t="s">
        <v>183</v>
      </c>
      <c r="AB22" s="495">
        <f t="array" ref="AB22">INDEX('Unpivot ratios'!$C$1:$C$500,MATCH(1,('Unpivot ratios'!$A$1:$A$500=$AA22)*('Unpivot ratios'!$B$1:$B$500=AB$3),0))</f>
        <v>0.85880815613556361</v>
      </c>
      <c r="AC22" s="495">
        <f t="array" ref="AC22">INDEX('Unpivot ratios'!$C$1:$C$500,MATCH(1,('Unpivot ratios'!$A$1:$A$500=$AA22)*('Unpivot ratios'!$B$1:$B$500=AC$3),0))</f>
        <v>4.2631255453530192E-2</v>
      </c>
      <c r="AD22" s="495">
        <f t="shared" si="15"/>
        <v>-0.81617690068203341</v>
      </c>
      <c r="AE22" t="str">
        <f t="shared" si="21"/>
        <v>4,3% (▼ -81,6 pp)</v>
      </c>
    </row>
    <row r="23" spans="1:31" ht="19" thickTop="1" thickBot="1" x14ac:dyDescent="0.4">
      <c r="A23" t="s">
        <v>13</v>
      </c>
      <c r="B23" t="s">
        <v>108</v>
      </c>
      <c r="C23" s="465">
        <f>IF(B23="","",SUMIFS('Unpivot EIR'!$D:$D,'Unpivot EIR'!$C:$C,C$21,'Unpivot EIR'!$B:$B,$B23)/1000000)</f>
        <v>466</v>
      </c>
      <c r="D23" s="465">
        <f>IF(C23="","",SUMIFS('Unpivot EIR'!$D:$D,'Unpivot EIR'!$C:$C,D$21,'Unpivot EIR'!$B:$B,$B23)/1000000)</f>
        <v>440</v>
      </c>
      <c r="E23" s="465">
        <f t="shared" ref="E23:E28" si="22">IFERROR(D23-C23,"")</f>
        <v>-26</v>
      </c>
      <c r="F23" s="466">
        <f t="shared" ref="F23:F25" si="23">C23/$C$22</f>
        <v>0.81749144553970399</v>
      </c>
      <c r="G23" s="466">
        <f t="shared" ref="G23:G25" si="24">D23/$D$22</f>
        <v>0.79945319872244547</v>
      </c>
      <c r="Q23">
        <f t="shared" si="14"/>
        <v>22</v>
      </c>
      <c r="R23" s="212" t="s">
        <v>62</v>
      </c>
      <c r="S23" s="212" t="s">
        <v>153</v>
      </c>
      <c r="T23" s="463">
        <f>HLOOKUP(T$3,ESF!$C$3:$J$36,$Q23,FALSE)</f>
        <v>94341270.118464381</v>
      </c>
      <c r="U23" s="463">
        <f>HLOOKUP(U$3,ESF!$C$3:$J$36,$Q23,FALSE)</f>
        <v>182658050.6192784</v>
      </c>
      <c r="V23" s="463">
        <f t="shared" si="10"/>
        <v>88316780.500814021</v>
      </c>
      <c r="W23" s="469">
        <f t="shared" si="11"/>
        <v>0.29253253178353034</v>
      </c>
      <c r="X23" s="469">
        <f t="shared" si="12"/>
        <v>0.55016057352321013</v>
      </c>
      <c r="Y23" s="469">
        <f t="shared" si="13"/>
        <v>0.25762804173967979</v>
      </c>
      <c r="AA23" s="489" t="s">
        <v>184</v>
      </c>
      <c r="AB23" s="492">
        <f t="array" ref="AB23">INDEX('Unpivot ratios'!$C$1:$C$500,MATCH(1,('Unpivot ratios'!$A$1:$A$500=$AA23)*('Unpivot ratios'!$B$1:$B$500=AB$3),0))</f>
        <v>0.42639153495943682</v>
      </c>
      <c r="AC23" s="492">
        <f t="array" ref="AC23">INDEX('Unpivot ratios'!$C$1:$C$500,MATCH(1,('Unpivot ratios'!$A$1:$A$500=$AA23)*('Unpivot ratios'!$B$1:$B$500=AC$3),0))</f>
        <v>0.12185219107330014</v>
      </c>
      <c r="AD23" s="492">
        <f t="shared" si="15"/>
        <v>-0.30453934388613668</v>
      </c>
    </row>
    <row r="24" spans="1:31" ht="15.5" x14ac:dyDescent="0.35">
      <c r="A24" t="s">
        <v>13</v>
      </c>
      <c r="B24" t="s">
        <v>109</v>
      </c>
      <c r="C24" s="465">
        <f>IF(B24="","",SUMIFS('Unpivot EIR'!$D:$D,'Unpivot EIR'!$C:$C,C$21,'Unpivot EIR'!$B:$B,$B24)/1000000)</f>
        <v>76</v>
      </c>
      <c r="D24" s="465">
        <f>IF(C24="","",SUMIFS('Unpivot EIR'!$D:$D,'Unpivot EIR'!$C:$C,D$21,'Unpivot EIR'!$B:$B,$B24)/1000000)</f>
        <v>72</v>
      </c>
      <c r="E24" s="465">
        <f t="shared" si="22"/>
        <v>-4</v>
      </c>
      <c r="F24" s="466">
        <f t="shared" si="23"/>
        <v>0.13332478510947962</v>
      </c>
      <c r="G24" s="466">
        <f t="shared" si="24"/>
        <v>0.13081961433640016</v>
      </c>
      <c r="Q24">
        <f t="shared" si="14"/>
        <v>23</v>
      </c>
      <c r="R24" s="196" t="s">
        <v>63</v>
      </c>
      <c r="S24" s="196" t="s">
        <v>159</v>
      </c>
      <c r="T24" s="463">
        <f>HLOOKUP(T$3,ESF!$C$3:$J$36,$Q24,FALSE)</f>
        <v>161657675.73591748</v>
      </c>
      <c r="U24" s="463">
        <f>HLOOKUP(U$3,ESF!$C$3:$J$36,$Q24,FALSE)</f>
        <v>88686206.631279334</v>
      </c>
      <c r="V24" s="463">
        <f t="shared" si="10"/>
        <v>-72971469.104638144</v>
      </c>
      <c r="W24" s="469">
        <f t="shared" si="11"/>
        <v>0.5012666154047607</v>
      </c>
      <c r="X24" s="469">
        <f t="shared" si="12"/>
        <v>0.26712019611750371</v>
      </c>
      <c r="Y24" s="469">
        <f t="shared" si="13"/>
        <v>-0.23414641928725699</v>
      </c>
      <c r="AA24" s="489" t="s">
        <v>186</v>
      </c>
      <c r="AB24" s="496" t="str">
        <f t="array" ref="AB24">INDEX('Unpivot ratios'!$C$1:$C$500,MATCH(1,('Unpivot ratios'!$A$1:$A$500=$AA24)*('Unpivot ratios'!$B$1:$B$500=AB$3),0))</f>
        <v>22 días</v>
      </c>
      <c r="AC24" s="496" t="str">
        <f t="array" ref="AC24">INDEX('Unpivot ratios'!$C$1:$C$500,MATCH(1,('Unpivot ratios'!$A$1:$A$500=$AA24)*('Unpivot ratios'!$B$1:$B$500=AC$3),0))</f>
        <v>30 días</v>
      </c>
      <c r="AD24" s="496">
        <f>VALUE(SUBSTITUTE(AC24," días","")) - VALUE(SUBSTITUTE(AB24," días",""))</f>
        <v>8</v>
      </c>
      <c r="AE24" t="str">
        <f>TEXT(VALUE(SUBSTITUTE(AC24," días","")),"0")&amp;" días ("&amp;
IF(VALUE(SUBSTITUTE(AD24," días",""))&gt;0,"▲ ",IF(VALUE(SUBSTITUTE(AD24," días",""))&lt;0,"▼ ",""))&amp;
TEXT(VALUE(SUBSTITUTE(AD24," días","")),"+0"" días"";-0"" días"";0"" días""")&amp;")"</f>
        <v>30 días (▲ +8 días)</v>
      </c>
    </row>
    <row r="25" spans="1:31" ht="16" thickBot="1" x14ac:dyDescent="0.4">
      <c r="A25" t="s">
        <v>13</v>
      </c>
      <c r="B25" t="s">
        <v>110</v>
      </c>
      <c r="C25" s="465">
        <f>IF(B25="","",SUMIFS('Unpivot EIR'!$D:$D,'Unpivot EIR'!$C:$C,C$21,'Unpivot EIR'!$B:$B,$B25)/1000000)</f>
        <v>28.036546000000001</v>
      </c>
      <c r="D25" s="465">
        <f>IF(C25="","",SUMIFS('Unpivot EIR'!$D:$D,'Unpivot EIR'!$C:$C,D$21,'Unpivot EIR'!$B:$B,$B25)/1000000)</f>
        <v>38.376182999999997</v>
      </c>
      <c r="E25" s="465">
        <f t="shared" si="22"/>
        <v>10.339636999999996</v>
      </c>
      <c r="F25" s="466">
        <f t="shared" si="23"/>
        <v>4.9183769350816323E-2</v>
      </c>
      <c r="G25" s="466">
        <f t="shared" si="24"/>
        <v>6.9727186941154387E-2</v>
      </c>
      <c r="Q25">
        <f t="shared" si="14"/>
        <v>24</v>
      </c>
      <c r="R25" s="207" t="s">
        <v>64</v>
      </c>
      <c r="S25" s="207" t="s">
        <v>154</v>
      </c>
      <c r="T25" s="463">
        <f>HLOOKUP(T$3,ESF!$C$3:$J$36,$Q25,FALSE)</f>
        <v>11582583.73631119</v>
      </c>
      <c r="U25" s="463">
        <f>HLOOKUP(U$3,ESF!$C$3:$J$36,$Q25,FALSE)</f>
        <v>10072774.828832988</v>
      </c>
      <c r="V25" s="463">
        <f t="shared" si="10"/>
        <v>-1509808.9074782021</v>
      </c>
      <c r="W25" s="469">
        <f t="shared" si="11"/>
        <v>3.5915167781005987E-2</v>
      </c>
      <c r="X25" s="469">
        <f t="shared" si="12"/>
        <v>3.0338895865868975E-2</v>
      </c>
      <c r="Y25" s="469">
        <f t="shared" si="13"/>
        <v>-5.576271915137012E-3</v>
      </c>
      <c r="AA25" s="489" t="s">
        <v>193</v>
      </c>
      <c r="AB25" s="496" t="str">
        <f t="array" ref="AB25">INDEX('Unpivot ratios'!$C$1:$C$500,MATCH(1,('Unpivot ratios'!$A$1:$A$500=$AA25)*('Unpivot ratios'!$B$1:$B$500=AB$3),0))</f>
        <v>45 días</v>
      </c>
      <c r="AC25" s="496" t="str">
        <f t="array" ref="AC25">INDEX('Unpivot ratios'!$C$1:$C$500,MATCH(1,('Unpivot ratios'!$A$1:$A$500=$AA25)*('Unpivot ratios'!$B$1:$B$500=AC$3),0))</f>
        <v>53 días</v>
      </c>
      <c r="AD25" s="496">
        <f t="shared" ref="AD25:AD28" si="25">VALUE(SUBSTITUTE(AC25," días","")) - VALUE(SUBSTITUTE(AB25," días",""))</f>
        <v>8</v>
      </c>
      <c r="AE25" t="str">
        <f t="shared" ref="AE25:AE28" si="26">TEXT(VALUE(SUBSTITUTE(AC25," días","")),"0")&amp;" días ("&amp;
IF(VALUE(SUBSTITUTE(AD25," días",""))&gt;0,"▲ ",IF(VALUE(SUBSTITUTE(AD25," días",""))&lt;0,"▼ ",""))&amp;
TEXT(VALUE(SUBSTITUTE(AD25," días","")),"+0"" días"";-0"" días"";0"" días""")&amp;")"</f>
        <v>53 días (▲ +8 días)</v>
      </c>
    </row>
    <row r="26" spans="1:31" ht="19" thickTop="1" thickBot="1" x14ac:dyDescent="0.4">
      <c r="A26" t="s">
        <v>42</v>
      </c>
      <c r="B26" t="s">
        <v>42</v>
      </c>
      <c r="C26" s="465">
        <f>IF(B26="","",SUMIFS('Unpivot EIR'!$D:$D,'Unpivot EIR'!$C:$C,C$21,'Unpivot EIR'!$A:$A,$B26)/1000000)</f>
        <v>5.8428880000000003</v>
      </c>
      <c r="D26" s="465">
        <f>IF(C26="","",SUMIFS('Unpivot EIR'!$D:$D,'Unpivot EIR'!$C:$C,D$21,'Unpivot EIR'!$A:$A,$B26)/1000000)</f>
        <v>0.47394399999999998</v>
      </c>
      <c r="E26" s="465">
        <f t="shared" si="22"/>
        <v>-5.3689439999999999</v>
      </c>
      <c r="F26" s="465"/>
      <c r="G26" s="465"/>
      <c r="Q26">
        <f t="shared" si="14"/>
        <v>25</v>
      </c>
      <c r="R26" s="236" t="s">
        <v>65</v>
      </c>
      <c r="S26" s="236" t="s">
        <v>155</v>
      </c>
      <c r="T26" s="463">
        <f>HLOOKUP(T$3,ESF!$C$3:$J$36,$Q26,FALSE)</f>
        <v>173240259.47222868</v>
      </c>
      <c r="U26" s="463">
        <f>HLOOKUP(U$3,ESF!$C$3:$J$36,$Q26,FALSE)</f>
        <v>98758981.460112303</v>
      </c>
      <c r="V26" s="463">
        <f t="shared" si="10"/>
        <v>-74481278.012116373</v>
      </c>
      <c r="W26" s="469">
        <f t="shared" si="11"/>
        <v>0.5371817831857667</v>
      </c>
      <c r="X26" s="469">
        <f t="shared" si="12"/>
        <v>0.29745909198337261</v>
      </c>
      <c r="Y26" s="469">
        <f t="shared" si="13"/>
        <v>-0.23972269120239409</v>
      </c>
      <c r="AA26" s="489" t="s">
        <v>199</v>
      </c>
      <c r="AB26" s="496" t="str">
        <f t="array" ref="AB26">INDEX('Unpivot ratios'!$C$1:$C$500,MATCH(1,('Unpivot ratios'!$A$1:$A$500=$AA26)*('Unpivot ratios'!$B$1:$B$500=AB$3),0))</f>
        <v>66 días</v>
      </c>
      <c r="AC26" s="496" t="str">
        <f t="array" ref="AC26">INDEX('Unpivot ratios'!$C$1:$C$500,MATCH(1,('Unpivot ratios'!$A$1:$A$500=$AA26)*('Unpivot ratios'!$B$1:$B$500=AC$3),0))</f>
        <v>83 días</v>
      </c>
      <c r="AD26" s="496">
        <f t="shared" si="25"/>
        <v>17</v>
      </c>
      <c r="AE26" t="str">
        <f t="shared" si="26"/>
        <v>83 días (▲ +17 días)</v>
      </c>
    </row>
    <row r="27" spans="1:31" ht="18.5" thickBot="1" x14ac:dyDescent="0.4">
      <c r="A27" t="s">
        <v>42</v>
      </c>
      <c r="B27" t="s">
        <v>113</v>
      </c>
      <c r="C27" s="465">
        <f>IF(B27="","",SUMIFS('Unpivot EIR'!$D:$D,'Unpivot EIR'!$C:$C,C$21,'Unpivot EIR'!$B:$B,$B27)/1000000)</f>
        <v>2.4</v>
      </c>
      <c r="D27" s="465">
        <f>IF(C27="","",SUMIFS('Unpivot EIR'!$D:$D,'Unpivot EIR'!$C:$C,D$21,'Unpivot EIR'!$B:$B,$B27)/1000000)</f>
        <v>8.9999999999999998E-4</v>
      </c>
      <c r="E27" s="465">
        <f t="shared" si="22"/>
        <v>-2.3990999999999998</v>
      </c>
      <c r="F27" s="475">
        <f>C27/C$26</f>
        <v>0.4107557769377061</v>
      </c>
      <c r="G27" s="475">
        <f>D27/D$26</f>
        <v>1.898958526745776E-3</v>
      </c>
      <c r="Q27">
        <f t="shared" si="14"/>
        <v>26</v>
      </c>
      <c r="R27" s="193" t="s">
        <v>66</v>
      </c>
      <c r="S27" s="193" t="s">
        <v>156</v>
      </c>
      <c r="T27" s="463">
        <f>HLOOKUP(T$3,ESF!$C$3:$J$36,$Q27,FALSE)</f>
        <v>267581529.59069303</v>
      </c>
      <c r="U27" s="463">
        <f>HLOOKUP(U$3,ESF!$C$3:$J$36,$Q27,FALSE)</f>
        <v>281417032.0793907</v>
      </c>
      <c r="V27" s="463">
        <f t="shared" si="10"/>
        <v>13835502.488697678</v>
      </c>
      <c r="W27" s="469">
        <f t="shared" si="11"/>
        <v>0.82971431496929693</v>
      </c>
      <c r="X27" s="469">
        <f t="shared" si="12"/>
        <v>0.84761966550658274</v>
      </c>
      <c r="Y27" s="469">
        <f t="shared" si="13"/>
        <v>1.7905350537285813E-2</v>
      </c>
      <c r="AA27" s="489" t="s">
        <v>206</v>
      </c>
      <c r="AB27" s="496" t="str">
        <f t="array" ref="AB27">INDEX('Unpivot ratios'!$C$1:$C$500,MATCH(1,('Unpivot ratios'!$A$1:$A$500=$AA27)*('Unpivot ratios'!$B$1:$B$500=AB$3),0))</f>
        <v>30 días</v>
      </c>
      <c r="AC27" s="496" t="str">
        <f t="array" ref="AC27">INDEX('Unpivot ratios'!$C$1:$C$500,MATCH(1,('Unpivot ratios'!$A$1:$A$500=$AA27)*('Unpivot ratios'!$B$1:$B$500=AC$3),0))</f>
        <v>36 días</v>
      </c>
      <c r="AD27" s="496">
        <f t="shared" si="25"/>
        <v>6</v>
      </c>
      <c r="AE27" t="str">
        <f t="shared" si="26"/>
        <v>36 días (▲ +6 días)</v>
      </c>
    </row>
    <row r="28" spans="1:31" ht="18.5" thickBot="1" x14ac:dyDescent="0.4">
      <c r="A28" t="s">
        <v>42</v>
      </c>
      <c r="B28" t="s">
        <v>114</v>
      </c>
      <c r="C28" s="465">
        <f>IF(B28="","",SUMIFS('Unpivot EIR'!$D:$D,'Unpivot EIR'!$C:$C,C$21,'Unpivot EIR'!$B:$B,$B28)/1000000)</f>
        <v>2.042888</v>
      </c>
      <c r="D28" s="465">
        <f>IF(C28="","",SUMIFS('Unpivot EIR'!$D:$D,'Unpivot EIR'!$C:$C,D$21,'Unpivot EIR'!$B:$B,$B28)/1000000)</f>
        <v>0.472744</v>
      </c>
      <c r="E28" s="465">
        <f t="shared" si="22"/>
        <v>-1.570144</v>
      </c>
      <c r="F28" s="475">
        <f t="shared" ref="F28:F29" si="27">C28/C$26</f>
        <v>0.34963668651529861</v>
      </c>
      <c r="G28" s="475">
        <f t="shared" ref="G28:G29" si="28">D28/D$26</f>
        <v>0.99746805529767235</v>
      </c>
      <c r="Q28">
        <f t="shared" si="14"/>
        <v>27</v>
      </c>
      <c r="R28" s="193" t="s">
        <v>4</v>
      </c>
      <c r="S28" s="193"/>
      <c r="T28" s="463"/>
      <c r="U28" s="463"/>
      <c r="V28" s="463"/>
      <c r="W28" s="469"/>
      <c r="X28" s="469"/>
      <c r="Y28" s="469"/>
      <c r="AA28" s="489" t="s">
        <v>211</v>
      </c>
      <c r="AB28" s="496" t="str">
        <f t="array" ref="AB28">INDEX('Unpivot ratios'!$C$1:$C$500,MATCH(1,('Unpivot ratios'!$A$1:$A$500=$AA28)*('Unpivot ratios'!$B$1:$B$500=AB$3),0))</f>
        <v>36 días</v>
      </c>
      <c r="AC28" s="496" t="str">
        <f t="array" ref="AC28">INDEX('Unpivot ratios'!$C$1:$C$500,MATCH(1,('Unpivot ratios'!$A$1:$A$500=$AA28)*('Unpivot ratios'!$B$1:$B$500=AC$3),0))</f>
        <v>47 días</v>
      </c>
      <c r="AD28" s="496">
        <f t="shared" si="25"/>
        <v>11</v>
      </c>
      <c r="AE28" t="str">
        <f t="shared" si="26"/>
        <v>47 días (▲ +11 días)</v>
      </c>
    </row>
    <row r="29" spans="1:31" ht="15.5" x14ac:dyDescent="0.35">
      <c r="A29" t="s">
        <v>42</v>
      </c>
      <c r="B29" t="s">
        <v>128</v>
      </c>
      <c r="C29" s="465">
        <f>IF(B29="","",SUMIFS('Unpivot EIR'!$D:$D,'Unpivot EIR'!$C:$C,C$21,'Unpivot EIR'!$B:$B,$B29)/1000000)</f>
        <v>1.4</v>
      </c>
      <c r="D29" s="465">
        <f>IF(C29="","",SUMIFS('Unpivot EIR'!$D:$D,'Unpivot EIR'!$C:$C,D$21,'Unpivot EIR'!$B:$B,$B29)/1000000)</f>
        <v>2.9999999999999997E-4</v>
      </c>
      <c r="E29" s="465">
        <f t="shared" ref="E29:E32" si="29">IFERROR(D29-C29,"")</f>
        <v>-1.3996999999999999</v>
      </c>
      <c r="F29" s="475">
        <f t="shared" si="27"/>
        <v>0.23960753654699524</v>
      </c>
      <c r="G29" s="475">
        <f t="shared" si="28"/>
        <v>6.3298617558192529E-4</v>
      </c>
      <c r="Q29">
        <f t="shared" si="14"/>
        <v>28</v>
      </c>
      <c r="R29" s="196" t="s">
        <v>67</v>
      </c>
      <c r="S29" s="196" t="s">
        <v>160</v>
      </c>
      <c r="T29" s="463">
        <f>HLOOKUP(T$3,ESF!$C$3:$J$36,$Q29,FALSE)</f>
        <v>4971947.6610350311</v>
      </c>
      <c r="U29" s="463">
        <f>HLOOKUP(U$3,ESF!$C$3:$J$36,$Q29,FALSE)</f>
        <v>4818524.5018847603</v>
      </c>
      <c r="V29" s="463">
        <f t="shared" si="10"/>
        <v>-153423.15915027075</v>
      </c>
      <c r="W29" s="469">
        <f t="shared" si="11"/>
        <v>1.5416969003612288E-2</v>
      </c>
      <c r="X29" s="469">
        <f t="shared" si="12"/>
        <v>1.4513251370551788E-2</v>
      </c>
      <c r="Y29" s="469">
        <f t="shared" si="13"/>
        <v>-9.0371763306049992E-4</v>
      </c>
      <c r="AA29" s="489" t="s">
        <v>216</v>
      </c>
      <c r="AB29" s="497">
        <f t="array" ref="AB29">INDEX('Unpivot ratios'!$C$1:$C$500,MATCH(1,('Unpivot ratios'!$A$1:$A$500=$AA29)*('Unpivot ratios'!$B$1:$B$500=AB$3),0))</f>
        <v>17</v>
      </c>
      <c r="AC29" s="497">
        <f t="array" ref="AC29">INDEX('Unpivot ratios'!$C$1:$C$500,MATCH(1,('Unpivot ratios'!$A$1:$A$500=$AA29)*('Unpivot ratios'!$B$1:$B$500=AC$3),0))</f>
        <v>13</v>
      </c>
      <c r="AD29" s="497">
        <f>AC29-AB29</f>
        <v>-4</v>
      </c>
      <c r="AE29" t="str">
        <f>TEXT(AC29,"0,0")&amp;" x ("&amp;IF(AD29&gt;0,"▲ ","▼ ")&amp;TEXT(AD29,"+0,00"" x"";-0,00"" x"";0"" x""")&amp;")"</f>
        <v>13,0 x (▼ -4,00 x)</v>
      </c>
    </row>
    <row r="30" spans="1:31" ht="15.5" x14ac:dyDescent="0.35">
      <c r="A30" t="s">
        <v>16</v>
      </c>
      <c r="B30" t="s">
        <v>16</v>
      </c>
      <c r="C30" s="465">
        <f>IF(B30="","",SUMIFS('Unpivot EIR'!$D:$D,'Unpivot EIR'!$C:$C,C$21,'Unpivot EIR'!$A:$A,$B30)/1000000)</f>
        <v>287.60004400000003</v>
      </c>
      <c r="D30" s="465">
        <f>IF(C30="","",SUMIFS('Unpivot EIR'!$D:$D,'Unpivot EIR'!$C:$C,D$21,'Unpivot EIR'!$A:$A,$B30)/1000000)</f>
        <v>290.319255</v>
      </c>
      <c r="E30" s="465">
        <f t="shared" si="29"/>
        <v>2.719210999999973</v>
      </c>
      <c r="Q30">
        <f t="shared" si="14"/>
        <v>29</v>
      </c>
      <c r="R30" s="201" t="s">
        <v>68</v>
      </c>
      <c r="S30" s="201" t="s">
        <v>162</v>
      </c>
      <c r="T30" s="463">
        <f>HLOOKUP(T$3,ESF!$C$3:$J$36,$Q30,FALSE)</f>
        <v>13776603.682524363</v>
      </c>
      <c r="U30" s="463">
        <f>HLOOKUP(U$3,ESF!$C$3:$J$36,$Q30,FALSE)</f>
        <v>13351488.57604431</v>
      </c>
      <c r="V30" s="463">
        <f t="shared" si="10"/>
        <v>-425115.10648005269</v>
      </c>
      <c r="W30" s="469">
        <f t="shared" si="11"/>
        <v>4.2718364397326375E-2</v>
      </c>
      <c r="X30" s="469">
        <f t="shared" si="12"/>
        <v>4.0214283397207451E-2</v>
      </c>
      <c r="Y30" s="469">
        <f t="shared" si="13"/>
        <v>-2.504081000118924E-3</v>
      </c>
      <c r="AA30" s="489" t="s">
        <v>217</v>
      </c>
      <c r="AB30" s="497">
        <f t="array" ref="AB30">INDEX('Unpivot ratios'!$C$1:$C$500,MATCH(1,('Unpivot ratios'!$A$1:$A$500=$AA30)*('Unpivot ratios'!$B$1:$B$500=AB$3),0))</f>
        <v>9</v>
      </c>
      <c r="AC30" s="497">
        <f t="array" ref="AC30">INDEX('Unpivot ratios'!$C$1:$C$500,MATCH(1,('Unpivot ratios'!$A$1:$A$500=$AA30)*('Unpivot ratios'!$B$1:$B$500=AC$3),0))</f>
        <v>7</v>
      </c>
      <c r="AD30" s="497">
        <f t="shared" ref="AD30:AD35" si="30">AC30-AB30</f>
        <v>-2</v>
      </c>
      <c r="AE30" t="str">
        <f t="shared" ref="AE30:AE35" si="31">TEXT(AC30,"0,0")&amp;" x ("&amp;IF(AD30&gt;0,"▲ ","▼ ")&amp;TEXT(AD30,"+0,00"" x"";-0,00"" x"";0"" x""")&amp;")"</f>
        <v>7,0 x (▼ -2,00 x)</v>
      </c>
    </row>
    <row r="31" spans="1:31" ht="15.5" x14ac:dyDescent="0.35">
      <c r="A31" t="s">
        <v>16</v>
      </c>
      <c r="B31" t="s">
        <v>115</v>
      </c>
      <c r="C31" s="465">
        <f>IF(B31="","",SUMIFS('Unpivot EIR'!$D:$D,'Unpivot EIR'!$C:$C,C$21,'Unpivot EIR'!$B:$B,$B31)/1000000)</f>
        <v>200</v>
      </c>
      <c r="D31" s="465">
        <f>IF(C31="","",SUMIFS('Unpivot EIR'!$D:$D,'Unpivot EIR'!$C:$C,D$21,'Unpivot EIR'!$B:$B,$B31)/1000000)</f>
        <v>208</v>
      </c>
      <c r="E31" s="465">
        <f t="shared" si="29"/>
        <v>8</v>
      </c>
      <c r="F31" s="475">
        <f>C31/C$30</f>
        <v>0.6954101856813345</v>
      </c>
      <c r="G31" s="475">
        <f>D31/D$30</f>
        <v>0.71645265140956638</v>
      </c>
      <c r="Q31">
        <f t="shared" si="14"/>
        <v>30</v>
      </c>
      <c r="R31" s="201" t="s">
        <v>69</v>
      </c>
      <c r="S31" s="201" t="s">
        <v>163</v>
      </c>
      <c r="T31" s="463">
        <f>HLOOKUP(T$3,ESF!$C$3:$J$36,$Q31,FALSE)</f>
        <v>6757009.9096038388</v>
      </c>
      <c r="U31" s="463">
        <f>HLOOKUP(U$3,ESF!$C$3:$J$36,$Q31,FALSE)</f>
        <v>-11120547.734441111</v>
      </c>
      <c r="V31" s="463">
        <f t="shared" si="10"/>
        <v>-17877557.644044951</v>
      </c>
      <c r="W31" s="469">
        <f t="shared" si="11"/>
        <v>2.0952073399698141E-2</v>
      </c>
      <c r="X31" s="469">
        <f t="shared" si="12"/>
        <v>-3.349475645190441E-2</v>
      </c>
      <c r="Y31" s="469">
        <f t="shared" si="13"/>
        <v>-5.4446829851602555E-2</v>
      </c>
      <c r="AA31" s="489" t="s">
        <v>218</v>
      </c>
      <c r="AB31" s="497">
        <f t="array" ref="AB31">INDEX('Unpivot ratios'!$C$1:$C$500,MATCH(1,('Unpivot ratios'!$A$1:$A$500=$AA31)*('Unpivot ratios'!$B$1:$B$500=AB$3),0))</f>
        <v>13</v>
      </c>
      <c r="AC31" s="497">
        <f t="array" ref="AC31">INDEX('Unpivot ratios'!$C$1:$C$500,MATCH(1,('Unpivot ratios'!$A$1:$A$500=$AA31)*('Unpivot ratios'!$B$1:$B$500=AC$3),0))</f>
        <v>11</v>
      </c>
      <c r="AD31" s="497">
        <f t="shared" si="30"/>
        <v>-2</v>
      </c>
      <c r="AE31" t="str">
        <f t="shared" si="31"/>
        <v>11,0 x (▼ -2,00 x)</v>
      </c>
    </row>
    <row r="32" spans="1:31" ht="15.5" x14ac:dyDescent="0.35">
      <c r="A32" t="s">
        <v>16</v>
      </c>
      <c r="B32" t="s">
        <v>116</v>
      </c>
      <c r="C32" s="465">
        <f>IF(B32="","",SUMIFS('Unpivot EIR'!$D:$D,'Unpivot EIR'!$C:$C,C$21,'Unpivot EIR'!$B:$B,$B32)/1000000)</f>
        <v>33</v>
      </c>
      <c r="D32" s="465">
        <f>IF(C32="","",SUMIFS('Unpivot EIR'!$D:$D,'Unpivot EIR'!$C:$C,D$21,'Unpivot EIR'!$B:$B,$B32)/1000000)</f>
        <v>32</v>
      </c>
      <c r="E32" s="465">
        <f t="shared" si="29"/>
        <v>-1</v>
      </c>
      <c r="F32" s="475">
        <f t="shared" ref="F32:F35" si="32">C32/C$30</f>
        <v>0.1147426806374202</v>
      </c>
      <c r="G32" s="475">
        <f t="shared" ref="G32:G35" si="33">D32/D$30</f>
        <v>0.11022348483224098</v>
      </c>
      <c r="Q32">
        <f t="shared" si="14"/>
        <v>31</v>
      </c>
      <c r="R32" s="201" t="s">
        <v>70</v>
      </c>
      <c r="S32" s="201" t="s">
        <v>164</v>
      </c>
      <c r="T32" s="463">
        <f>HLOOKUP(T$3,ESF!$C$3:$J$36,$Q32,FALSE)</f>
        <v>9049141.6016028114</v>
      </c>
      <c r="U32" s="463">
        <f>HLOOKUP(U$3,ESF!$C$3:$J$36,$Q32,FALSE)</f>
        <v>14923917.224401878</v>
      </c>
      <c r="V32" s="463">
        <f t="shared" si="10"/>
        <v>5874775.6227990668</v>
      </c>
      <c r="W32" s="469">
        <f t="shared" si="11"/>
        <v>2.8059494003636908E-2</v>
      </c>
      <c r="X32" s="469">
        <f t="shared" si="12"/>
        <v>4.4950391354517609E-2</v>
      </c>
      <c r="Y32" s="469">
        <f t="shared" si="13"/>
        <v>1.6890897350880701E-2</v>
      </c>
      <c r="AA32" s="489" t="s">
        <v>168</v>
      </c>
      <c r="AB32" s="497">
        <f t="array" ref="AB32">INDEX('Unpivot ratios'!$C$1:$C$500,MATCH(1,('Unpivot ratios'!$A$1:$A$500=$AA32)*('Unpivot ratios'!$B$1:$B$500=AB$3),0))</f>
        <v>1.6014852825492594</v>
      </c>
      <c r="AC32" s="497">
        <f t="array" ref="AC32">INDEX('Unpivot ratios'!$C$1:$C$500,MATCH(1,('Unpivot ratios'!$A$1:$A$500=$AA32)*('Unpivot ratios'!$B$1:$B$500=AC$3),0))</f>
        <v>1.6627548206813139</v>
      </c>
      <c r="AD32" s="497">
        <f t="shared" si="30"/>
        <v>6.1269538132054491E-2</v>
      </c>
      <c r="AE32" t="str">
        <f t="shared" si="31"/>
        <v>1,7 x (▲ +0,06 x)</v>
      </c>
    </row>
    <row r="33" spans="1:31" ht="16" thickBot="1" x14ac:dyDescent="0.4">
      <c r="A33" t="s">
        <v>16</v>
      </c>
      <c r="B33" t="s">
        <v>117</v>
      </c>
      <c r="C33" s="465">
        <f>IF(B33="","",SUMIFS('Unpivot EIR'!$D:$D,'Unpivot EIR'!$C:$C,C$21,'Unpivot EIR'!$B:$B,$B33)/1000000)</f>
        <v>44</v>
      </c>
      <c r="D33" s="465">
        <f>IF(C33="","",SUMIFS('Unpivot EIR'!$D:$D,'Unpivot EIR'!$C:$C,D$21,'Unpivot EIR'!$B:$B,$B33)/1000000)</f>
        <v>41</v>
      </c>
      <c r="E33" s="465">
        <f t="shared" ref="E33:E35" si="34">IFERROR(D33-C33,"")</f>
        <v>-3</v>
      </c>
      <c r="F33" s="475">
        <f t="shared" si="32"/>
        <v>0.1529902408498936</v>
      </c>
      <c r="G33" s="475">
        <f t="shared" si="33"/>
        <v>0.14122383994130874</v>
      </c>
      <c r="Q33">
        <f t="shared" si="14"/>
        <v>32</v>
      </c>
      <c r="R33" s="207" t="s">
        <v>30</v>
      </c>
      <c r="S33" s="207" t="s">
        <v>161</v>
      </c>
      <c r="T33" s="463">
        <f>HLOOKUP(T$3,ESF!$C$3:$J$36,$Q33,FALSE)</f>
        <v>20362156.172308356</v>
      </c>
      <c r="U33" s="463">
        <f>HLOOKUP(U$3,ESF!$C$3:$J$36,$Q33,FALSE)</f>
        <v>28618201.4001077</v>
      </c>
      <c r="V33" s="463">
        <f t="shared" si="10"/>
        <v>8256045.2277993448</v>
      </c>
      <c r="W33" s="469">
        <f t="shared" si="11"/>
        <v>6.3138784226429281E-2</v>
      </c>
      <c r="X33" s="469">
        <f t="shared" si="12"/>
        <v>8.6197164823044736E-2</v>
      </c>
      <c r="Y33" s="469">
        <f t="shared" si="13"/>
        <v>2.3058380596615455E-2</v>
      </c>
      <c r="AA33" s="489" t="s">
        <v>220</v>
      </c>
      <c r="AB33" s="497">
        <f t="array" ref="AB33">INDEX('Unpivot ratios'!$C$1:$C$500,MATCH(1,('Unpivot ratios'!$A$1:$A$500=$AA33)*('Unpivot ratios'!$B$1:$B$500=AB$3),0))</f>
        <v>1.1383390828775768</v>
      </c>
      <c r="AC33" s="497">
        <f t="array" ref="AC33">INDEX('Unpivot ratios'!$C$1:$C$500,MATCH(1,('Unpivot ratios'!$A$1:$A$500=$AA33)*('Unpivot ratios'!$B$1:$B$500=AC$3),0))</f>
        <v>0.6251135036969776</v>
      </c>
      <c r="AD33" s="497">
        <f t="shared" si="30"/>
        <v>-0.51322557918059919</v>
      </c>
      <c r="AE33" t="str">
        <f t="shared" si="31"/>
        <v>0,6 x (▼ -0,51 x)</v>
      </c>
    </row>
    <row r="34" spans="1:31" ht="19" thickTop="1" thickBot="1" x14ac:dyDescent="0.4">
      <c r="A34" t="s">
        <v>16</v>
      </c>
      <c r="B34" t="s">
        <v>118</v>
      </c>
      <c r="C34" s="465">
        <f>IF(B34="","",SUMIFS('Unpivot EIR'!$D:$D,'Unpivot EIR'!$C:$C,C$21,'Unpivot EIR'!$B:$B,$B34)/1000000)</f>
        <v>6</v>
      </c>
      <c r="D34" s="465">
        <f>IF(C34="","",SUMIFS('Unpivot EIR'!$D:$D,'Unpivot EIR'!$C:$C,D$21,'Unpivot EIR'!$B:$B,$B34)/1000000)</f>
        <v>5.5</v>
      </c>
      <c r="E34" s="465">
        <f t="shared" si="34"/>
        <v>-0.5</v>
      </c>
      <c r="F34" s="475">
        <f t="shared" si="32"/>
        <v>2.0862305570440037E-2</v>
      </c>
      <c r="G34" s="475">
        <f t="shared" si="33"/>
        <v>1.8944661455541419E-2</v>
      </c>
      <c r="Q34">
        <f t="shared" si="14"/>
        <v>33</v>
      </c>
      <c r="R34" s="212" t="s">
        <v>71</v>
      </c>
      <c r="S34" s="212" t="s">
        <v>166</v>
      </c>
      <c r="T34" s="463">
        <f>HLOOKUP(T$3,ESF!$C$3:$J$36,$Q34,FALSE)</f>
        <v>54916859.027074404</v>
      </c>
      <c r="U34" s="463">
        <f>HLOOKUP(U$3,ESF!$C$3:$J$36,$Q34,FALSE)</f>
        <v>50591583.967997536</v>
      </c>
      <c r="V34" s="463">
        <f t="shared" si="10"/>
        <v>-4325275.059076868</v>
      </c>
      <c r="W34" s="469">
        <f t="shared" si="11"/>
        <v>0.17028568503070302</v>
      </c>
      <c r="X34" s="469">
        <f t="shared" si="12"/>
        <v>0.15238033449341717</v>
      </c>
      <c r="Y34" s="469">
        <f t="shared" si="13"/>
        <v>-1.7905350537285841E-2</v>
      </c>
      <c r="AA34" s="489" t="s">
        <v>221</v>
      </c>
      <c r="AB34" s="497">
        <f t="array" ref="AB34">INDEX('Unpivot ratios'!$C$1:$C$500,MATCH(1,('Unpivot ratios'!$A$1:$A$500=$AA34)*('Unpivot ratios'!$B$1:$B$500=AB$3),0))</f>
        <v>0.75015229280605811</v>
      </c>
      <c r="AC34" s="497">
        <f t="array" ref="AC34">INDEX('Unpivot ratios'!$C$1:$C$500,MATCH(1,('Unpivot ratios'!$A$1:$A$500=$AA34)*('Unpivot ratios'!$B$1:$B$500=AC$3),0))</f>
        <v>0.38666898026088586</v>
      </c>
      <c r="AD34" s="497">
        <f t="shared" si="30"/>
        <v>-0.36348331254517224</v>
      </c>
      <c r="AE34" t="str">
        <f t="shared" si="31"/>
        <v>0,4 x (▼ -0,36 x)</v>
      </c>
    </row>
    <row r="35" spans="1:31" ht="18.5" thickBot="1" x14ac:dyDescent="0.4">
      <c r="A35" t="s">
        <v>16</v>
      </c>
      <c r="B35" t="s">
        <v>129</v>
      </c>
      <c r="C35" s="465">
        <f>IF(B35="","",SUMIFS('Unpivot EIR'!$D:$D,'Unpivot EIR'!$C:$C,C$21,'Unpivot EIR'!$B:$B,$B35)/1000000)</f>
        <v>4.6000439999999996</v>
      </c>
      <c r="D35" s="465">
        <f>IF(C35="","",SUMIFS('Unpivot EIR'!$D:$D,'Unpivot EIR'!$C:$C,D$21,'Unpivot EIR'!$B:$B,$B35)/1000000)</f>
        <v>3.8192550000000001</v>
      </c>
      <c r="E35" s="465">
        <f t="shared" si="34"/>
        <v>-0.78078899999999951</v>
      </c>
      <c r="F35" s="475">
        <f t="shared" si="32"/>
        <v>1.5994587260911543E-2</v>
      </c>
      <c r="G35" s="475">
        <f t="shared" si="33"/>
        <v>1.3155362361342517E-2</v>
      </c>
      <c r="Q35">
        <f t="shared" si="14"/>
        <v>34</v>
      </c>
      <c r="R35" s="193" t="s">
        <v>72</v>
      </c>
      <c r="S35" s="193" t="s">
        <v>165</v>
      </c>
      <c r="T35" s="463">
        <f>HLOOKUP(T$3,ESF!$C$3:$J$36,$Q35,FALSE)</f>
        <v>322498388.61776745</v>
      </c>
      <c r="U35" s="463">
        <f>HLOOKUP(U$3,ESF!$C$3:$J$36,$Q35,FALSE)</f>
        <v>332008616.04738826</v>
      </c>
      <c r="V35" s="463">
        <f t="shared" si="10"/>
        <v>9510227.4296208024</v>
      </c>
      <c r="W35" s="469">
        <f t="shared" si="11"/>
        <v>1</v>
      </c>
      <c r="X35" s="469">
        <f t="shared" si="12"/>
        <v>1</v>
      </c>
      <c r="Y35" s="469">
        <f t="shared" si="13"/>
        <v>0</v>
      </c>
      <c r="AA35" s="489" t="s">
        <v>222</v>
      </c>
      <c r="AB35" s="497">
        <f t="array" ref="AB35">INDEX('Unpivot ratios'!$C$1:$C$500,MATCH(1,('Unpivot ratios'!$A$1:$A$500=$AA35)*('Unpivot ratios'!$B$1:$B$500=AB$3),0))</f>
        <v>0.42971813209928483</v>
      </c>
      <c r="AC35" s="497">
        <f t="array" ref="AC35">INDEX('Unpivot ratios'!$C$1:$C$500,MATCH(1,('Unpivot ratios'!$A$1:$A$500=$AA35)*('Unpivot ratios'!$B$1:$B$500=AC$3),0))</f>
        <v>0.15614065529748497</v>
      </c>
      <c r="AD35" s="497">
        <f t="shared" si="30"/>
        <v>-0.27357747680179989</v>
      </c>
      <c r="AE35" t="str">
        <f t="shared" si="31"/>
        <v>0,2 x (▼ -0,27 x)</v>
      </c>
    </row>
    <row r="36" spans="1:31" ht="18" x14ac:dyDescent="0.35">
      <c r="R36" s="241"/>
      <c r="S36" s="477"/>
      <c r="AA36" s="489" t="s">
        <v>223</v>
      </c>
      <c r="AB36" s="494">
        <f t="array" ref="AB36">INDEX('Unpivot ratios'!$C$1:$C$500,MATCH(1,('Unpivot ratios'!$A$1:$A$500=$AA36)*('Unpivot ratios'!$B$1:$B$500=AB$3),0))</f>
        <v>13051084.785694107</v>
      </c>
      <c r="AC36" s="494">
        <f t="array" ref="AC36">INDEX('Unpivot ratios'!$C$1:$C$500,MATCH(1,('Unpivot ratios'!$A$1:$A$500=$AA36)*('Unpivot ratios'!$B$1:$B$500=AC$3),0))</f>
        <v>-68476036.61820139</v>
      </c>
      <c r="AD36" s="494">
        <f>(AC36-AB36)/1000000</f>
        <v>-81.527121403895492</v>
      </c>
      <c r="AE36" t="str">
        <f>TEXT(AC36/1000000,"$ #,0.0")&amp;" MM ("&amp;
IF((AC36-AB36)&gt;0,"▲ ",IF((AC36-AB36)&lt;0,"▼ ",""))&amp;
TEXT((AC36-AB36)/1000000,"+$ #,##0.0"" MM"";-$ #,0.0"" MM"";0"" MM""")&amp;")"</f>
        <v>-$ 68,48 MM (▼ -$ 81,53 MM)</v>
      </c>
    </row>
    <row r="37" spans="1:31" x14ac:dyDescent="0.35">
      <c r="AA37" s="489" t="s">
        <v>224</v>
      </c>
      <c r="AB37" s="494">
        <f t="array" ref="AB37">INDEX('Unpivot ratios'!$C$1:$C$500,MATCH(1,('Unpivot ratios'!$A$1:$A$500=$AA37)*('Unpivot ratios'!$B$1:$B$500=AB$3),0))</f>
        <v>43055815.740426175</v>
      </c>
      <c r="AC37" s="494">
        <f t="array" ref="AC37">INDEX('Unpivot ratios'!$C$1:$C$500,MATCH(1,('Unpivot ratios'!$A$1:$A$500=$AA37)*('Unpivot ratios'!$B$1:$B$500=AC$3),0))</f>
        <v>56401877.067466736</v>
      </c>
      <c r="AD37" s="494">
        <f>(AC37-AB37)/1000000</f>
        <v>13.346061327040561</v>
      </c>
      <c r="AE37" t="str">
        <f>TEXT(AC37/1000000,"$ #,0.0")&amp;" MM ("&amp;
IF((AC37-AB37)&gt;0,"▲ ",IF((AC37-AB37)&lt;0,"▼ ",""))&amp;
TEXT((AC37-AB37)/1000000,"+$ #,##0.0"" MM"";-$ #,0.0"" MM"";0"" MM""")&amp;")"</f>
        <v>$ 56,40 MM (▲ +$ 13,3461 MM)</v>
      </c>
    </row>
    <row r="38" spans="1:31" x14ac:dyDescent="0.35">
      <c r="AA38" s="489" t="s">
        <v>225</v>
      </c>
      <c r="AB38" s="492">
        <f t="array" ref="AB38">INDEX('Unpivot ratios'!$C$1:$C$500,MATCH(1,('Unpivot ratios'!$A$1:$A$500=$AA38)*('Unpivot ratios'!$B$1:$B$500=AB$3),0))</f>
        <v>-0.10795135807456147</v>
      </c>
      <c r="AC38" s="492">
        <f t="array" ref="AC38">INDEX('Unpivot ratios'!$C$1:$C$500,MATCH(1,('Unpivot ratios'!$A$1:$A$500=$AA38)*('Unpivot ratios'!$B$1:$B$500=AC$3),0))</f>
        <v>-3.4604435289781077E-2</v>
      </c>
      <c r="AD38" s="492">
        <f t="shared" si="15"/>
        <v>7.3346922784780388E-2</v>
      </c>
      <c r="AE38" t="str">
        <f t="shared" ref="AE38:AE40" si="35">TEXT(AC38,"0,0%")&amp;" ("&amp;IF(AD38&gt;0,"▲ ","▼ ")&amp;TEXT(AD38*100,"+0,0"" pp"";-0,0"" pp"";0"" pp""")&amp;")"</f>
        <v>-3,5% (▲ +7,3 pp)</v>
      </c>
    </row>
    <row r="39" spans="1:31" x14ac:dyDescent="0.35">
      <c r="AA39" s="489" t="s">
        <v>226</v>
      </c>
      <c r="AB39" s="492">
        <f t="array" ref="AB39">INDEX('Unpivot ratios'!$C$1:$C$500,MATCH(1,('Unpivot ratios'!$A$1:$A$500=$AA39)*('Unpivot ratios'!$B$1:$B$500=AB$3),0))</f>
        <v>0.26716555084546878</v>
      </c>
      <c r="AC39" s="492">
        <f t="array" ref="AC39">INDEX('Unpivot ratios'!$C$1:$C$500,MATCH(1,('Unpivot ratios'!$A$1:$A$500=$AA39)*('Unpivot ratios'!$B$1:$B$500=AC$3),0))</f>
        <v>-5.4991173195893667E-2</v>
      </c>
      <c r="AD39" s="492">
        <f t="shared" si="15"/>
        <v>-0.32215672404136242</v>
      </c>
      <c r="AE39" t="str">
        <f t="shared" si="35"/>
        <v>-5,5% (▼ -32,2 pp)</v>
      </c>
    </row>
    <row r="40" spans="1:31" x14ac:dyDescent="0.35">
      <c r="AA40" s="489" t="s">
        <v>167</v>
      </c>
      <c r="AB40" s="492">
        <f t="array" ref="AB40">INDEX('Unpivot ratios'!$C$1:$C$500,MATCH(1,('Unpivot ratios'!$A$1:$A$500=$AA40)*('Unpivot ratios'!$B$1:$B$500=AB$3),0))</f>
        <v>3.9425141719644383E-2</v>
      </c>
      <c r="AC40" s="492">
        <f t="array" ref="AC40">INDEX('Unpivot ratios'!$C$1:$C$500,MATCH(1,('Unpivot ratios'!$A$1:$A$500=$AA40)*('Unpivot ratios'!$B$1:$B$500=AC$3),0))</f>
        <v>5.1839972887719819E-2</v>
      </c>
      <c r="AD40" s="492">
        <f t="shared" si="15"/>
        <v>1.2414831168075437E-2</v>
      </c>
      <c r="AE40" t="str">
        <f t="shared" si="35"/>
        <v>5,2% (▲ +1,2 pp)</v>
      </c>
    </row>
    <row r="41" spans="1:31" x14ac:dyDescent="0.35">
      <c r="AA41" s="489" t="s">
        <v>168</v>
      </c>
      <c r="AB41" s="492">
        <f t="array" ref="AB41">INDEX('Unpivot ratios'!$C$1:$C$500,MATCH(1,('Unpivot ratios'!$A$1:$A$500=$AA41)*('Unpivot ratios'!$B$1:$B$500=AB$3),0))</f>
        <v>1.6014852825492594</v>
      </c>
      <c r="AC41" s="492">
        <f t="array" ref="AC41">INDEX('Unpivot ratios'!$C$1:$C$500,MATCH(1,('Unpivot ratios'!$A$1:$A$500=$AA41)*('Unpivot ratios'!$B$1:$B$500=AC$3),0))</f>
        <v>1.6627548206813139</v>
      </c>
      <c r="AD41" s="492">
        <f t="shared" si="15"/>
        <v>6.1269538132054491E-2</v>
      </c>
    </row>
    <row r="42" spans="1:31" x14ac:dyDescent="0.35">
      <c r="AA42" s="489" t="s">
        <v>228</v>
      </c>
      <c r="AB42" s="492">
        <f t="array" ref="AB42">INDEX('Unpivot ratios'!$C$1:$C$500,MATCH(1,('Unpivot ratios'!$A$1:$A$500=$AA42)*('Unpivot ratios'!$B$1:$B$500=AB$3),0))</f>
        <v>0.1423782247679943</v>
      </c>
      <c r="AC42" s="492">
        <f t="array" ref="AC42">INDEX('Unpivot ratios'!$C$1:$C$500,MATCH(1,('Unpivot ratios'!$A$1:$A$500=$AA42)*('Unpivot ratios'!$B$1:$B$500=AC$3),0))</f>
        <v>0.19509872202596226</v>
      </c>
      <c r="AD42" s="492">
        <f t="shared" si="15"/>
        <v>5.2720497257967958E-2</v>
      </c>
      <c r="AE42" t="str">
        <f t="shared" ref="AE42:AE43" si="36">TEXT(AC42,"0,0%")&amp;" ("&amp;IF(AD42&gt;0,"▲ ","▼ ")&amp;TEXT(AD42*100,"+0,0"" pp"";-0,0"" pp"";0"" pp""")&amp;")"</f>
        <v>19,5% (▲ +5,3 pp)</v>
      </c>
    </row>
    <row r="43" spans="1:31" x14ac:dyDescent="0.35">
      <c r="AA43" s="489" t="s">
        <v>171</v>
      </c>
      <c r="AB43" s="492">
        <f t="array" ref="AB43">INDEX('Unpivot ratios'!$C$1:$C$500,MATCH(1,('Unpivot ratios'!$A$1:$A$500=$AA43)*('Unpivot ratios'!$B$1:$B$500=AB$3),0))</f>
        <v>0.37078151469423382</v>
      </c>
      <c r="AC43" s="492">
        <f t="array" ref="AC43">INDEX('Unpivot ratios'!$C$1:$C$500,MATCH(1,('Unpivot ratios'!$A$1:$A$500=$AA43)*('Unpivot ratios'!$B$1:$B$500=AC$3),0))</f>
        <v>0.56567118788394866</v>
      </c>
      <c r="AD43" s="492">
        <f t="shared" si="15"/>
        <v>0.19488967318971484</v>
      </c>
      <c r="AE43" t="str">
        <f t="shared" si="36"/>
        <v>56,6% (▲ +19,5 pp)</v>
      </c>
    </row>
    <row r="44" spans="1:31" x14ac:dyDescent="0.35">
      <c r="AA44" s="489" t="s">
        <v>76</v>
      </c>
      <c r="AB44" s="494">
        <f t="array" ref="AB44">INDEX('Unpivot ratios'!$C$1:$C$500,MATCH(1,('Unpivot ratios'!$A$1:$A$500=$AA44)*('Unpivot ratios'!$B$1:$B$500=AB$3),0))</f>
        <v>11621002.898900449</v>
      </c>
      <c r="AC44" s="494">
        <f t="array" ref="AC44">INDEX('Unpivot ratios'!$C$1:$C$500,MATCH(1,('Unpivot ratios'!$A$1:$A$500=$AA44)*('Unpivot ratios'!$B$1:$B$500=AC$3),0))</f>
        <v>14783598.73836449</v>
      </c>
      <c r="AD44" s="494">
        <f t="shared" si="15"/>
        <v>3162595.8394640405</v>
      </c>
    </row>
    <row r="45" spans="1:31" x14ac:dyDescent="0.35">
      <c r="AA45" s="489" t="s">
        <v>229</v>
      </c>
      <c r="AB45" s="492">
        <f t="array" ref="AB45">INDEX('Unpivot ratios'!$C$1:$C$500,MATCH(1,('Unpivot ratios'!$A$1:$A$500=$AA45)*('Unpivot ratios'!$B$1:$B$500=AB$3),0))</f>
        <v>-7.3333180165204515E-2</v>
      </c>
      <c r="AC45" s="492">
        <f t="array" ref="AC45">INDEX('Unpivot ratios'!$C$1:$C$500,MATCH(1,('Unpivot ratios'!$A$1:$A$500=$AA45)*('Unpivot ratios'!$B$1:$B$500=AC$3),0))</f>
        <v>-1.5284746639888547E-2</v>
      </c>
      <c r="AD45" s="492">
        <f t="shared" si="15"/>
        <v>5.8048433525315968E-2</v>
      </c>
      <c r="AE45" t="str">
        <f t="shared" ref="AE45:AE46" si="37">TEXT(AC45,"0,0%")&amp;" ("&amp;IF(AD45&gt;0,"▲ ","▼ ")&amp;TEXT(AD45*100,"+0,0"" pp"";-0,0"" pp"";0"" pp""")&amp;")"</f>
        <v>-1,5% (▲ +5,8 pp)</v>
      </c>
    </row>
    <row r="46" spans="1:31" x14ac:dyDescent="0.35">
      <c r="AA46" s="489" t="s">
        <v>230</v>
      </c>
      <c r="AB46" s="492">
        <f t="array" ref="AB46">INDEX('Unpivot ratios'!$C$1:$C$500,MATCH(1,('Unpivot ratios'!$A$1:$A$500=$AA46)*('Unpivot ratios'!$B$1:$B$500=AB$3),0))</f>
        <v>1.060851060573236</v>
      </c>
      <c r="AC46" s="492">
        <f t="array" ref="AC46">INDEX('Unpivot ratios'!$C$1:$C$500,MATCH(1,('Unpivot ratios'!$A$1:$A$500=$AA46)*('Unpivot ratios'!$B$1:$B$500=AC$3),0))</f>
        <v>0.53860275484133613</v>
      </c>
      <c r="AD46" s="492">
        <f t="shared" si="15"/>
        <v>-0.52224830573189984</v>
      </c>
      <c r="AE46" t="str">
        <f t="shared" si="37"/>
        <v>53,9% (▼ -52,2 pp)</v>
      </c>
    </row>
    <row r="47" spans="1:31" x14ac:dyDescent="0.35">
      <c r="B47" t="s">
        <v>13</v>
      </c>
      <c r="C47" t="s">
        <v>13</v>
      </c>
      <c r="AA47" s="489" t="s">
        <v>22</v>
      </c>
      <c r="AB47" s="494">
        <f t="array" ref="AB47">INDEX('Unpivot ratios'!$C$1:$C$500,MATCH(1,('Unpivot ratios'!$A$1:$A$500=$AA47)*('Unpivot ratios'!$B$1:$B$500=AB$3),0))</f>
        <v>13083153.673475219</v>
      </c>
      <c r="AC47" s="494">
        <f t="array" ref="AC47">INDEX('Unpivot ratios'!$C$1:$C$500,MATCH(1,('Unpivot ratios'!$A$1:$A$500=$AA47)*('Unpivot ratios'!$B$1:$B$500=AC$3),0))</f>
        <v>13685975.844295716</v>
      </c>
      <c r="AD47" s="494">
        <f t="shared" si="15"/>
        <v>602822.17082049698</v>
      </c>
    </row>
    <row r="48" spans="1:31" x14ac:dyDescent="0.35">
      <c r="B48" t="s">
        <v>13</v>
      </c>
      <c r="C48" t="s">
        <v>108</v>
      </c>
      <c r="AA48" s="489" t="s">
        <v>232</v>
      </c>
      <c r="AB48" s="494">
        <f t="array" ref="AB48">INDEX('Unpivot ratios'!$C$1:$C$500,MATCH(1,('Unpivot ratios'!$A$1:$A$500=$AA48)*('Unpivot ratios'!$B$1:$B$500=AB$3),0))</f>
        <v>170562666.09937546</v>
      </c>
      <c r="AC48" s="494">
        <f t="array" ref="AC48">INDEX('Unpivot ratios'!$C$1:$C$500,MATCH(1,('Unpivot ratios'!$A$1:$A$500=$AA48)*('Unpivot ratios'!$B$1:$B$500=AC$3),0))</f>
        <v>149171167.01284716</v>
      </c>
      <c r="AD48" s="494">
        <f t="shared" si="15"/>
        <v>-21391499.086528301</v>
      </c>
    </row>
    <row r="49" spans="2:31" x14ac:dyDescent="0.35">
      <c r="B49" t="s">
        <v>13</v>
      </c>
      <c r="C49" t="s">
        <v>109</v>
      </c>
      <c r="AA49" s="489" t="s">
        <v>233</v>
      </c>
      <c r="AB49" s="492">
        <f t="array" ref="AB49">INDEX('Unpivot ratios'!$C$1:$C$500,MATCH(1,('Unpivot ratios'!$A$1:$A$500=$AA49)*('Unpivot ratios'!$B$1:$B$500=AB$3),0))</f>
        <v>-0.12116273340732242</v>
      </c>
      <c r="AC49" s="492">
        <f t="array" ref="AC49">INDEX('Unpivot ratios'!$C$1:$C$500,MATCH(1,('Unpivot ratios'!$A$1:$A$500=$AA49)*('Unpivot ratios'!$B$1:$B$500=AC$3),0))</f>
        <v>-0.13300280794695907</v>
      </c>
      <c r="AD49" s="492">
        <f t="shared" si="15"/>
        <v>-1.1840074539636647E-2</v>
      </c>
      <c r="AE49" t="str">
        <f t="shared" ref="AE49" si="38">TEXT(AC49,"0,0%")&amp;" ("&amp;IF(AD49&gt;0,"▲ ","▼ ")&amp;TEXT(AD49*100,"+0,0"" pp"";-0,0"" pp"";0"" pp""")&amp;")"</f>
        <v>-13,3% (▼ -1,2 pp)</v>
      </c>
    </row>
    <row r="50" spans="2:31" x14ac:dyDescent="0.35">
      <c r="B50" t="s">
        <v>13</v>
      </c>
      <c r="C50" t="s">
        <v>110</v>
      </c>
      <c r="AA50" s="489" t="s">
        <v>234</v>
      </c>
      <c r="AB50" s="497">
        <f t="array" ref="AB50">INDEX('Unpivot ratios'!$C$1:$C$500,MATCH(1,('Unpivot ratios'!$A$1:$A$500=$AA50)*('Unpivot ratios'!$B$1:$B$500=AB$3),0))</f>
        <v>2.3272464182512138</v>
      </c>
      <c r="AC50" s="497">
        <f t="array" ref="AC50">INDEX('Unpivot ratios'!$C$1:$C$500,MATCH(1,('Unpivot ratios'!$A$1:$A$500=$AA50)*('Unpivot ratios'!$B$1:$B$500=AC$3),0))</f>
        <v>1.8324078729025943</v>
      </c>
      <c r="AD50" s="497">
        <f t="shared" si="15"/>
        <v>-0.49483854534861949</v>
      </c>
      <c r="AE50" t="str">
        <f t="shared" ref="AE50:AE51" si="39">TEXT(AC50,"0,0")&amp;" x ("&amp;IF(AD50&gt;0,"▲ ","▼ ")&amp;TEXT(AD50,"+0,00"" x"";-0,00"" x"";0"" x""")&amp;")"</f>
        <v>1,8 x (▼ -0,49 x)</v>
      </c>
    </row>
    <row r="51" spans="2:31" x14ac:dyDescent="0.35">
      <c r="B51" t="s">
        <v>112</v>
      </c>
      <c r="C51" t="s">
        <v>14</v>
      </c>
      <c r="AA51" s="489" t="s">
        <v>235</v>
      </c>
      <c r="AB51" s="497">
        <f t="array" ref="AB51">INDEX('Unpivot ratios'!$C$1:$C$500,MATCH(1,('Unpivot ratios'!$A$1:$A$500=$AA51)*('Unpivot ratios'!$B$1:$B$500=AB$3),0))</f>
        <v>0.33024288911963218</v>
      </c>
      <c r="AC51" s="497">
        <f t="array" ref="AC51">INDEX('Unpivot ratios'!$C$1:$C$500,MATCH(1,('Unpivot ratios'!$A$1:$A$500=$AA51)*('Unpivot ratios'!$B$1:$B$500=AC$3),0))</f>
        <v>0.27021367085446601</v>
      </c>
      <c r="AD51" s="497">
        <f t="shared" si="15"/>
        <v>-6.0029218265166162E-2</v>
      </c>
      <c r="AE51" t="str">
        <f t="shared" si="39"/>
        <v>0,3 x (▼ -0,06 x)</v>
      </c>
    </row>
    <row r="52" spans="2:31" x14ac:dyDescent="0.35">
      <c r="B52" t="s">
        <v>42</v>
      </c>
      <c r="C52" t="s">
        <v>42</v>
      </c>
      <c r="AA52" s="489" t="s">
        <v>236</v>
      </c>
      <c r="AB52" s="492">
        <f t="array" ref="AB52">INDEX('Unpivot ratios'!$C$1:$C$500,MATCH(1,('Unpivot ratios'!$A$1:$A$500=$AA52)*('Unpivot ratios'!$B$1:$B$500=AB$3),0))</f>
        <v>7.7476961767310393E-2</v>
      </c>
      <c r="AC52" s="492">
        <f t="array" ref="AC52">INDEX('Unpivot ratios'!$C$1:$C$500,MATCH(1,('Unpivot ratios'!$A$1:$A$500=$AA52)*('Unpivot ratios'!$B$1:$B$500=AC$3),0))</f>
        <v>9.4821362982754301E-2</v>
      </c>
      <c r="AD52" s="492">
        <f t="shared" ref="AD52" si="40">AC52-AB52</f>
        <v>1.7344401215443908E-2</v>
      </c>
      <c r="AE52" t="str">
        <f t="shared" ref="AE52" si="41">TEXT(AC52,"0,0%")&amp;" ("&amp;IF(AD52&gt;0,"▲ ","▼ ")&amp;TEXT(AD52*100,"+0,0"" pp"";-0,0"" pp"";0"" pp""")&amp;")"</f>
        <v>9,5% (▲ +1,7 pp)</v>
      </c>
    </row>
    <row r="53" spans="2:31" x14ac:dyDescent="0.35">
      <c r="B53" t="s">
        <v>42</v>
      </c>
      <c r="C53" t="s">
        <v>113</v>
      </c>
      <c r="AA53" s="489" t="s">
        <v>237</v>
      </c>
      <c r="AB53" s="497">
        <f t="array" ref="AB53">INDEX('Unpivot ratios'!$C$1:$C$500,MATCH(1,('Unpivot ratios'!$A$1:$A$500=$AA53)*('Unpivot ratios'!$B$1:$B$500=AB$3),0))</f>
        <v>5.6018201674554069</v>
      </c>
      <c r="AC53" s="497">
        <f t="array" ref="AC53">INDEX('Unpivot ratios'!$C$1:$C$500,MATCH(1,('Unpivot ratios'!$A$1:$A$500=$AA53)*('Unpivot ratios'!$B$1:$B$500=AC$3),0))</f>
        <v>5.9482192643223311</v>
      </c>
      <c r="AD53" s="497">
        <f t="shared" ref="AD53:AD54" si="42">AC53-AB53</f>
        <v>0.34639909686692416</v>
      </c>
      <c r="AE53" t="str">
        <f t="shared" ref="AE53:AE54" si="43">TEXT(AC53,"0,0")&amp;" x ("&amp;IF(AD53&gt;0,"▲ ","▼ ")&amp;TEXT(AD53,"+0,00"" x"";-0,00"" x"";0"" x""")&amp;")"</f>
        <v>5,9 x (▲ +0,35 x)</v>
      </c>
    </row>
    <row r="54" spans="2:31" x14ac:dyDescent="0.35">
      <c r="B54" t="s">
        <v>42</v>
      </c>
      <c r="C54" t="s">
        <v>114</v>
      </c>
      <c r="AA54" s="489" t="s">
        <v>238</v>
      </c>
      <c r="AB54" s="497">
        <f t="array" ref="AB54">INDEX('Unpivot ratios'!$C$1:$C$500,MATCH(1,('Unpivot ratios'!$A$1:$A$500=$AA54)*('Unpivot ratios'!$B$1:$B$500=AB$3),0))</f>
        <v>5.6018201674554069</v>
      </c>
      <c r="AC54" s="497">
        <f t="array" ref="AC54">INDEX('Unpivot ratios'!$C$1:$C$500,MATCH(1,('Unpivot ratios'!$A$1:$A$500=$AA54)*('Unpivot ratios'!$B$1:$B$500=AC$3),0))</f>
        <v>1.5565512088067261</v>
      </c>
      <c r="AD54" s="497">
        <f t="shared" si="42"/>
        <v>-4.0452689586486805</v>
      </c>
      <c r="AE54" t="str">
        <f t="shared" si="43"/>
        <v>1,6 x (▼ -4,05 x)</v>
      </c>
    </row>
    <row r="55" spans="2:31" x14ac:dyDescent="0.35">
      <c r="B55" t="s">
        <v>42</v>
      </c>
      <c r="C55" t="s">
        <v>128</v>
      </c>
      <c r="AA55" s="489" t="s">
        <v>239</v>
      </c>
      <c r="AB55" s="492">
        <f t="array" ref="AB55">INDEX('Unpivot ratios'!$C$1:$C$500,MATCH(1,('Unpivot ratios'!$A$1:$A$500=$AA55)*('Unpivot ratios'!$B$1:$B$500=AB$3),0))</f>
        <v>0.82971431496929693</v>
      </c>
      <c r="AC55" s="492">
        <f t="array" ref="AC55">INDEX('Unpivot ratios'!$C$1:$C$500,MATCH(1,('Unpivot ratios'!$A$1:$A$500=$AA55)*('Unpivot ratios'!$B$1:$B$500=AC$3),0))</f>
        <v>0.84761966550658274</v>
      </c>
      <c r="AD55" s="492">
        <f t="shared" si="15"/>
        <v>1.7905350537285813E-2</v>
      </c>
      <c r="AE55" t="str">
        <f t="shared" ref="AE55:AE56" si="44">TEXT(AC55,"0,0%")&amp;" ("&amp;IF(AD55&gt;0,"▲ ","▼ ")&amp;TEXT(AD55*100,"+0,0"" pp"";-0,0"" pp"";0"" pp""")&amp;")"</f>
        <v>84,8% (▲ +1,8 pp)</v>
      </c>
    </row>
    <row r="56" spans="2:31" x14ac:dyDescent="0.35">
      <c r="B56" t="s">
        <v>106</v>
      </c>
      <c r="C56" t="s">
        <v>106</v>
      </c>
      <c r="AA56" s="489" t="s">
        <v>240</v>
      </c>
      <c r="AB56" s="492">
        <f t="array" ref="AB56">INDEX('Unpivot ratios'!$C$1:$C$500,MATCH(1,('Unpivot ratios'!$A$1:$A$500=$AA56)*('Unpivot ratios'!$B$1:$B$500=AB$3),0))</f>
        <v>0.35257018772100535</v>
      </c>
      <c r="AC56" s="492">
        <f t="array" ref="AC56">INDEX('Unpivot ratios'!$C$1:$C$500,MATCH(1,('Unpivot ratios'!$A$1:$A$500=$AA56)*('Unpivot ratios'!$B$1:$B$500=AC$3),0))</f>
        <v>0.6490653720196603</v>
      </c>
      <c r="AD56" s="492">
        <f t="shared" si="15"/>
        <v>0.29649518429865496</v>
      </c>
      <c r="AE56" t="str">
        <f t="shared" si="44"/>
        <v>64,9% (▲ +29,6 pp)</v>
      </c>
    </row>
    <row r="57" spans="2:31" x14ac:dyDescent="0.35">
      <c r="B57" t="s">
        <v>16</v>
      </c>
      <c r="C57" t="s">
        <v>16</v>
      </c>
      <c r="AA57" s="489" t="s">
        <v>241</v>
      </c>
      <c r="AB57" s="497">
        <f t="array" ref="AB57">INDEX('Unpivot ratios'!$C$1:$C$500,MATCH(1,('Unpivot ratios'!$A$1:$A$500=$AA57)*('Unpivot ratios'!$B$1:$B$500=AB$3),0))</f>
        <v>3.1058343306795249</v>
      </c>
      <c r="AC57" s="497">
        <f t="array" ref="AC57">INDEX('Unpivot ratios'!$C$1:$C$500,MATCH(1,('Unpivot ratios'!$A$1:$A$500=$AA57)*('Unpivot ratios'!$B$1:$B$500=AC$3),0))</f>
        <v>2.9485371936013629</v>
      </c>
      <c r="AD57" s="497">
        <f t="shared" si="15"/>
        <v>-0.15729713707816195</v>
      </c>
      <c r="AE57" t="str">
        <f t="shared" ref="AE57:AE58" si="45">TEXT(AC57,"0,0")&amp;" x ("&amp;IF(AD57&gt;0,"▲ ","▼ ")&amp;TEXT(AD57,"+0,00"" x"";-0,00"" x"";0"" x""")&amp;")"</f>
        <v>2,9 x (▼ -0,16 x)</v>
      </c>
    </row>
    <row r="58" spans="2:31" x14ac:dyDescent="0.35">
      <c r="B58" t="s">
        <v>16</v>
      </c>
      <c r="C58" t="s">
        <v>115</v>
      </c>
      <c r="AA58" s="489" t="s">
        <v>242</v>
      </c>
      <c r="AB58" s="497">
        <f t="array" ref="AB58">INDEX('Unpivot ratios'!$C$1:$C$500,MATCH(1,('Unpivot ratios'!$A$1:$A$500=$AA58)*('Unpivot ratios'!$B$1:$B$500=AB$3),0))</f>
        <v>4.8724842303667337</v>
      </c>
      <c r="AC58" s="497">
        <f t="array" ref="AC58">INDEX('Unpivot ratios'!$C$1:$C$500,MATCH(1,('Unpivot ratios'!$A$1:$A$500=$AA58)*('Unpivot ratios'!$B$1:$B$500=AC$3),0))</f>
        <v>5.5625266103035091</v>
      </c>
      <c r="AD58" s="497">
        <f t="shared" si="15"/>
        <v>0.69004237993677542</v>
      </c>
      <c r="AE58" t="str">
        <f t="shared" si="45"/>
        <v>5,6 x (▲ +0,69 x)</v>
      </c>
    </row>
    <row r="59" spans="2:31" x14ac:dyDescent="0.35">
      <c r="B59" t="s">
        <v>16</v>
      </c>
      <c r="C59" t="s">
        <v>116</v>
      </c>
      <c r="AA59" s="489" t="s">
        <v>75</v>
      </c>
      <c r="AB59" s="494">
        <f t="array" ref="AB59">INDEX('Unpivot ratios'!$C$1:$C$500,MATCH(1,('Unpivot ratios'!$A$1:$A$500=$AA59)*('Unpivot ratios'!$B$1:$B$500=AB$3),0))</f>
        <v>21244526.856899731</v>
      </c>
      <c r="AC59" s="494">
        <f t="array" ref="AC59">INDEX('Unpivot ratios'!$C$1:$C$500,MATCH(1,('Unpivot ratios'!$A$1:$A$500=$AA59)*('Unpivot ratios'!$B$1:$B$500=AC$3),0))</f>
        <v>10053081.006231248</v>
      </c>
      <c r="AD59" s="494">
        <f t="shared" si="15"/>
        <v>-11191445.850668482</v>
      </c>
    </row>
    <row r="60" spans="2:31" x14ac:dyDescent="0.35">
      <c r="B60" t="s">
        <v>16</v>
      </c>
      <c r="C60" t="s">
        <v>117</v>
      </c>
      <c r="AA60" s="489" t="s">
        <v>244</v>
      </c>
      <c r="AB60" s="492">
        <f t="array" ref="AB60">INDEX('Unpivot ratios'!$C$1:$C$500,MATCH(1,('Unpivot ratios'!$A$1:$A$500=$AA60)*('Unpivot ratios'!$B$1:$B$500=AB$3),0))</f>
        <v>0.60757442907481174</v>
      </c>
      <c r="AC60" s="492">
        <f t="array" ref="AC60">INDEX('Unpivot ratios'!$C$1:$C$500,MATCH(1,('Unpivot ratios'!$A$1:$A$500=$AA60)*('Unpivot ratios'!$B$1:$B$500=AC$3),0))</f>
        <v>-0.70780310989534856</v>
      </c>
      <c r="AD60" s="492">
        <f t="shared" si="15"/>
        <v>-1.3153775389701603</v>
      </c>
      <c r="AE60" t="str">
        <f t="shared" ref="AE60:AE66" si="46">TEXT(AC60,"0,0%")&amp;" ("&amp;IF(AD60&gt;0,"▲ ","▼ ")&amp;TEXT(AD60*100,"+0,0"" pp"";-0,0"" pp"";0"" pp""")&amp;")"</f>
        <v>-70,8% (▼ -131,5 pp)</v>
      </c>
    </row>
    <row r="61" spans="2:31" x14ac:dyDescent="0.35">
      <c r="B61" t="s">
        <v>16</v>
      </c>
      <c r="C61" t="s">
        <v>118</v>
      </c>
      <c r="AA61" s="489" t="s">
        <v>102</v>
      </c>
      <c r="AB61" s="494">
        <f t="array" ref="AB61">INDEX('Unpivot ratios'!$C$1:$C$500,MATCH(1,('Unpivot ratios'!$A$1:$A$500=$AA61)*('Unpivot ratios'!$B$1:$B$500=AB$3),0))</f>
        <v>44284579.292009018</v>
      </c>
      <c r="AC61" s="494">
        <f t="array" ref="AC61">INDEX('Unpivot ratios'!$C$1:$C$500,MATCH(1,('Unpivot ratios'!$A$1:$A$500=$AA61)*('Unpivot ratios'!$B$1:$B$500=AC$3),0))</f>
        <v>62606637.482116088</v>
      </c>
      <c r="AD61" s="494">
        <f t="shared" si="15"/>
        <v>18322058.19010707</v>
      </c>
    </row>
    <row r="62" spans="2:31" x14ac:dyDescent="0.35">
      <c r="B62" t="s">
        <v>16</v>
      </c>
      <c r="C62" t="s">
        <v>129</v>
      </c>
      <c r="AA62" s="489" t="s">
        <v>245</v>
      </c>
      <c r="AB62" s="492">
        <f t="array" ref="AB62">INDEX('Unpivot ratios'!$C$1:$C$500,MATCH(1,('Unpivot ratios'!$A$1:$A$500=$AA62)*('Unpivot ratios'!$B$1:$B$500=AB$3),0))</f>
        <v>0.32945452719114421</v>
      </c>
      <c r="AC62" s="492">
        <f t="array" ref="AC62">INDEX('Unpivot ratios'!$C$1:$C$500,MATCH(1,('Unpivot ratios'!$A$1:$A$500=$AA62)*('Unpivot ratios'!$B$1:$B$500=AC$3),0))</f>
        <v>0.13813180807235703</v>
      </c>
      <c r="AD62" s="492">
        <f t="shared" si="15"/>
        <v>-0.19132271911878718</v>
      </c>
      <c r="AE62" t="str">
        <f t="shared" si="46"/>
        <v>13,8% (▼ -19,1 pp)</v>
      </c>
    </row>
    <row r="63" spans="2:31" x14ac:dyDescent="0.35">
      <c r="B63" t="s">
        <v>17</v>
      </c>
      <c r="C63" t="s">
        <v>17</v>
      </c>
      <c r="AA63" s="489" t="s">
        <v>103</v>
      </c>
      <c r="AB63" s="494">
        <f t="array" ref="AB63">INDEX('Unpivot ratios'!$C$1:$C$500,MATCH(1,('Unpivot ratios'!$A$1:$A$500=$AA63)*('Unpivot ratios'!$B$1:$B$500=AB$3),0))</f>
        <v>31201425.618533798</v>
      </c>
      <c r="AC63" s="494">
        <f t="array" ref="AC63">INDEX('Unpivot ratios'!$C$1:$C$500,MATCH(1,('Unpivot ratios'!$A$1:$A$500=$AA63)*('Unpivot ratios'!$B$1:$B$500=AC$3),0))</f>
        <v>10306922.119395874</v>
      </c>
      <c r="AD63" s="494">
        <f t="shared" si="15"/>
        <v>-20894503.499137923</v>
      </c>
    </row>
    <row r="64" spans="2:31" x14ac:dyDescent="0.35">
      <c r="B64" t="s">
        <v>18</v>
      </c>
      <c r="C64" t="s">
        <v>18</v>
      </c>
      <c r="AA64" s="489" t="s">
        <v>246</v>
      </c>
      <c r="AB64" s="492">
        <f t="array" ref="AB64">INDEX('Unpivot ratios'!$C$1:$C$500,MATCH(1,('Unpivot ratios'!$A$1:$A$500=$AA64)*('Unpivot ratios'!$B$1:$B$500=AB$3),0))</f>
        <v>0.71981945968160499</v>
      </c>
      <c r="AC64" s="492">
        <f t="array" ref="AC64">INDEX('Unpivot ratios'!$C$1:$C$500,MATCH(1,('Unpivot ratios'!$A$1:$A$500=$AA64)*('Unpivot ratios'!$B$1:$B$500=AC$3),0))</f>
        <v>-0.73043315447101986</v>
      </c>
      <c r="AD64" s="492">
        <f t="shared" si="15"/>
        <v>-1.4502526141526249</v>
      </c>
      <c r="AE64" t="str">
        <f t="shared" si="46"/>
        <v>-73,0% (▼ -145,0 pp)</v>
      </c>
    </row>
    <row r="65" spans="2:31" x14ac:dyDescent="0.35">
      <c r="B65" t="s">
        <v>18</v>
      </c>
      <c r="C65" t="s">
        <v>119</v>
      </c>
      <c r="AA65" s="489" t="s">
        <v>104</v>
      </c>
      <c r="AB65" s="494">
        <f t="array" ref="AB65">INDEX('Unpivot ratios'!$C$1:$C$500,MATCH(1,('Unpivot ratios'!$A$1:$A$500=$AA65)*('Unpivot ratios'!$B$1:$B$500=AB$3),0))</f>
        <v>19580422.719633348</v>
      </c>
      <c r="AC65" s="494">
        <f t="array" ref="AC65">INDEX('Unpivot ratios'!$C$1:$C$500,MATCH(1,('Unpivot ratios'!$A$1:$A$500=$AA65)*('Unpivot ratios'!$B$1:$B$500=AC$3),0))</f>
        <v>-4476676.6189686153</v>
      </c>
      <c r="AD65" s="494">
        <f t="shared" si="15"/>
        <v>-24057099.338601962</v>
      </c>
    </row>
    <row r="66" spans="2:31" x14ac:dyDescent="0.35">
      <c r="B66" t="s">
        <v>18</v>
      </c>
      <c r="C66" t="s">
        <v>120</v>
      </c>
      <c r="AA66" s="489" t="s">
        <v>247</v>
      </c>
      <c r="AB66" s="492">
        <f t="array" ref="AB66">INDEX('Unpivot ratios'!$C$1:$C$500,MATCH(1,('Unpivot ratios'!$A$1:$A$500=$AA66)*('Unpivot ratios'!$B$1:$B$500=AB$3),0))</f>
        <v>2.495493171157305</v>
      </c>
      <c r="AC66" s="492">
        <f t="array" ref="AC66">INDEX('Unpivot ratios'!$C$1:$C$500,MATCH(1,('Unpivot ratios'!$A$1:$A$500=$AA66)*('Unpivot ratios'!$B$1:$B$500=AC$3),0))</f>
        <v>-1.192776931305914</v>
      </c>
      <c r="AD66" s="492">
        <f t="shared" si="15"/>
        <v>-3.688270102463219</v>
      </c>
      <c r="AE66" t="str">
        <f t="shared" si="46"/>
        <v>-119,3% (▼ -368,8 pp)</v>
      </c>
    </row>
    <row r="67" spans="2:31" x14ac:dyDescent="0.35">
      <c r="B67" t="s">
        <v>18</v>
      </c>
      <c r="C67" t="s">
        <v>121</v>
      </c>
    </row>
    <row r="68" spans="2:31" x14ac:dyDescent="0.35">
      <c r="B68" t="s">
        <v>18</v>
      </c>
      <c r="C68" t="s">
        <v>122</v>
      </c>
    </row>
    <row r="69" spans="2:31" x14ac:dyDescent="0.35">
      <c r="B69" t="s">
        <v>18</v>
      </c>
      <c r="C69" t="s">
        <v>130</v>
      </c>
    </row>
    <row r="70" spans="2:31" x14ac:dyDescent="0.35">
      <c r="B70" t="s">
        <v>19</v>
      </c>
      <c r="C70" t="s">
        <v>19</v>
      </c>
    </row>
    <row r="71" spans="2:31" x14ac:dyDescent="0.35">
      <c r="B71" t="s">
        <v>20</v>
      </c>
      <c r="C71" t="s">
        <v>20</v>
      </c>
    </row>
    <row r="72" spans="2:31" x14ac:dyDescent="0.35">
      <c r="B72" t="s">
        <v>21</v>
      </c>
      <c r="C72" t="s">
        <v>21</v>
      </c>
    </row>
    <row r="73" spans="2:31" x14ac:dyDescent="0.35">
      <c r="B73" t="s">
        <v>22</v>
      </c>
      <c r="C73" t="s">
        <v>22</v>
      </c>
    </row>
    <row r="74" spans="2:31" x14ac:dyDescent="0.35">
      <c r="B74" t="s">
        <v>22</v>
      </c>
      <c r="C74" t="s">
        <v>123</v>
      </c>
    </row>
    <row r="75" spans="2:31" x14ac:dyDescent="0.35">
      <c r="B75" t="s">
        <v>22</v>
      </c>
      <c r="C75" t="s">
        <v>124</v>
      </c>
    </row>
    <row r="76" spans="2:31" x14ac:dyDescent="0.35">
      <c r="B76" t="s">
        <v>22</v>
      </c>
      <c r="C76" t="s">
        <v>131</v>
      </c>
    </row>
    <row r="77" spans="2:31" x14ac:dyDescent="0.35">
      <c r="B77" t="s">
        <v>23</v>
      </c>
      <c r="C77" t="s">
        <v>23</v>
      </c>
    </row>
    <row r="78" spans="2:31" x14ac:dyDescent="0.35">
      <c r="B78" t="s">
        <v>24</v>
      </c>
      <c r="C78" t="s">
        <v>24</v>
      </c>
    </row>
    <row r="79" spans="2:31" x14ac:dyDescent="0.35">
      <c r="B79" t="s">
        <v>24</v>
      </c>
      <c r="C79" t="s">
        <v>125</v>
      </c>
    </row>
    <row r="80" spans="2:31" x14ac:dyDescent="0.35">
      <c r="B80" t="s">
        <v>24</v>
      </c>
      <c r="C80" t="s">
        <v>126</v>
      </c>
    </row>
    <row r="81" spans="2:3" x14ac:dyDescent="0.35">
      <c r="B81" t="s">
        <v>24</v>
      </c>
      <c r="C81" t="s">
        <v>127</v>
      </c>
    </row>
    <row r="82" spans="2:3" x14ac:dyDescent="0.35">
      <c r="B82" t="s">
        <v>24</v>
      </c>
      <c r="C82" t="s">
        <v>132</v>
      </c>
    </row>
    <row r="83" spans="2:3" x14ac:dyDescent="0.35">
      <c r="B83" t="s">
        <v>107</v>
      </c>
      <c r="C83" t="s">
        <v>107</v>
      </c>
    </row>
    <row r="84" spans="2:3" x14ac:dyDescent="0.35">
      <c r="B84" t="s">
        <v>29</v>
      </c>
      <c r="C84" t="s">
        <v>29</v>
      </c>
    </row>
    <row r="85" spans="2:3" x14ac:dyDescent="0.35">
      <c r="B85" t="s">
        <v>30</v>
      </c>
      <c r="C85" t="s">
        <v>30</v>
      </c>
    </row>
  </sheetData>
  <mergeCells count="8">
    <mergeCell ref="T2:V2"/>
    <mergeCell ref="W2:Y2"/>
    <mergeCell ref="AB2:AD2"/>
    <mergeCell ref="C2:D2"/>
    <mergeCell ref="E2:F2"/>
    <mergeCell ref="G2:J2"/>
    <mergeCell ref="K2:M2"/>
    <mergeCell ref="N2:P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C202-4739-40A7-A55F-41472C23BE3A}">
  <sheetPr codeName="Hoja10"/>
  <dimension ref="A4:R25"/>
  <sheetViews>
    <sheetView showGridLines="0" zoomScale="85" zoomScaleNormal="85" workbookViewId="0">
      <selection activeCell="B4" sqref="B4"/>
    </sheetView>
  </sheetViews>
  <sheetFormatPr baseColWidth="10" defaultRowHeight="14.5" x14ac:dyDescent="0.35"/>
  <cols>
    <col min="1" max="1" width="13.7265625" customWidth="1"/>
    <col min="2" max="2" width="15.1796875" customWidth="1"/>
    <col min="3" max="3" width="10.90625" customWidth="1"/>
    <col min="15" max="15" width="7.1796875" customWidth="1"/>
    <col min="18" max="18" width="8.7265625" customWidth="1"/>
  </cols>
  <sheetData>
    <row r="4" spans="1:18" x14ac:dyDescent="0.35">
      <c r="A4" s="462" t="s">
        <v>40</v>
      </c>
      <c r="B4" s="476">
        <v>2021</v>
      </c>
      <c r="C4" s="460"/>
    </row>
    <row r="5" spans="1:18" x14ac:dyDescent="0.35">
      <c r="A5" s="462" t="s">
        <v>39</v>
      </c>
      <c r="B5" s="476">
        <v>2024</v>
      </c>
      <c r="C5" s="461"/>
    </row>
    <row r="6" spans="1:18" x14ac:dyDescent="0.35">
      <c r="A6" s="478" t="s">
        <v>148</v>
      </c>
      <c r="B6" s="461"/>
      <c r="C6" s="461"/>
    </row>
    <row r="7" spans="1:18" x14ac:dyDescent="0.35">
      <c r="A7" s="461"/>
      <c r="B7" s="461"/>
      <c r="C7" s="461"/>
    </row>
    <row r="8" spans="1:18" x14ac:dyDescent="0.35">
      <c r="A8" s="461"/>
      <c r="B8" s="461"/>
      <c r="C8" s="461"/>
    </row>
    <row r="9" spans="1:18" x14ac:dyDescent="0.35">
      <c r="A9" s="461"/>
      <c r="B9" s="461"/>
      <c r="C9" s="461"/>
      <c r="P9" s="470">
        <f>B4</f>
        <v>2021</v>
      </c>
      <c r="Q9" s="470">
        <f>B5</f>
        <v>2024</v>
      </c>
      <c r="R9" s="471" t="s">
        <v>101</v>
      </c>
    </row>
    <row r="10" spans="1:18" x14ac:dyDescent="0.35">
      <c r="A10" s="461"/>
      <c r="B10" s="461"/>
      <c r="C10" s="461"/>
      <c r="P10" s="472">
        <f>backend!N4</f>
        <v>1.1037029386577255</v>
      </c>
      <c r="Q10" s="472">
        <f>backend!O4</f>
        <v>0.99696993513453847</v>
      </c>
      <c r="R10" s="472">
        <f>Q10-P10</f>
        <v>-0.10673300352318704</v>
      </c>
    </row>
    <row r="11" spans="1:18" x14ac:dyDescent="0.35">
      <c r="A11" s="461"/>
      <c r="B11" s="461"/>
      <c r="C11" s="461"/>
      <c r="P11" s="472">
        <f>backend!N5</f>
        <v>0.11501591944557663</v>
      </c>
      <c r="Q11" s="472">
        <f>backend!O5</f>
        <v>0</v>
      </c>
      <c r="R11" s="472">
        <f t="shared" ref="R11:R25" si="0">Q11-P11</f>
        <v>-0.11501591944557663</v>
      </c>
    </row>
    <row r="12" spans="1:18" ht="15" thickBot="1" x14ac:dyDescent="0.4">
      <c r="A12" s="461"/>
      <c r="B12" s="461"/>
      <c r="C12" s="461"/>
      <c r="P12" s="473">
        <f>backend!N6</f>
        <v>1.1312980787851179E-2</v>
      </c>
      <c r="Q12" s="473">
        <f>backend!O6</f>
        <v>3.0300648654614411E-3</v>
      </c>
      <c r="R12" s="473">
        <f t="shared" si="0"/>
        <v>-8.2829159223897376E-3</v>
      </c>
    </row>
    <row r="13" spans="1:18" x14ac:dyDescent="0.35">
      <c r="P13" s="472">
        <f>backend!N7</f>
        <v>1</v>
      </c>
      <c r="Q13" s="472">
        <f>backend!O7</f>
        <v>1</v>
      </c>
      <c r="R13" s="472">
        <f t="shared" si="0"/>
        <v>0</v>
      </c>
    </row>
    <row r="14" spans="1:18" ht="15" thickBot="1" x14ac:dyDescent="0.4">
      <c r="P14" s="473">
        <f>backend!N8</f>
        <v>0.57040366353195904</v>
      </c>
      <c r="Q14" s="473">
        <f>backend!O8</f>
        <v>0.54038553617822749</v>
      </c>
      <c r="R14" s="473">
        <f t="shared" si="0"/>
        <v>-3.001812735373155E-2</v>
      </c>
    </row>
    <row r="15" spans="1:18" x14ac:dyDescent="0.35">
      <c r="P15" s="472">
        <f>backend!N9</f>
        <v>0.42959633646804091</v>
      </c>
      <c r="Q15" s="472">
        <f>backend!O9</f>
        <v>0.4596144638217724</v>
      </c>
      <c r="R15" s="472">
        <f t="shared" si="0"/>
        <v>3.0018127353731494E-2</v>
      </c>
    </row>
    <row r="16" spans="1:18" ht="15" thickBot="1" x14ac:dyDescent="0.4">
      <c r="P16" s="473">
        <f>backend!N10</f>
        <v>0.2876934908863556</v>
      </c>
      <c r="Q16" s="473">
        <f>backend!O10</f>
        <v>0.31215074962890621</v>
      </c>
      <c r="R16" s="473">
        <f t="shared" si="0"/>
        <v>2.4457258742550614E-2</v>
      </c>
    </row>
    <row r="17" spans="16:18" x14ac:dyDescent="0.35">
      <c r="P17" s="472">
        <f>backend!N11</f>
        <v>0.14190284558168528</v>
      </c>
      <c r="Q17" s="472">
        <f>backend!O11</f>
        <v>0.14746371419286619</v>
      </c>
      <c r="R17" s="472">
        <f t="shared" si="0"/>
        <v>5.560868611180908E-3</v>
      </c>
    </row>
    <row r="18" spans="16:18" ht="15" thickBot="1" x14ac:dyDescent="0.4">
      <c r="P18" s="473">
        <f>backend!N12</f>
        <v>3.5634475512825003E-2</v>
      </c>
      <c r="Q18" s="473">
        <f>backend!O12</f>
        <v>3.4418214725468653E-2</v>
      </c>
      <c r="R18" s="473">
        <f t="shared" si="0"/>
        <v>-1.2162607873563505E-3</v>
      </c>
    </row>
    <row r="19" spans="16:18" x14ac:dyDescent="0.35">
      <c r="P19" s="472">
        <f>backend!N13</f>
        <v>0.10626837006886028</v>
      </c>
      <c r="Q19" s="472">
        <f>backend!O13</f>
        <v>0.11304549946739753</v>
      </c>
      <c r="R19" s="472">
        <f t="shared" si="0"/>
        <v>6.7771293985372516E-3</v>
      </c>
    </row>
    <row r="20" spans="16:18" x14ac:dyDescent="0.35">
      <c r="P20" s="472">
        <f>backend!N14</f>
        <v>2.5331560339278761E-2</v>
      </c>
      <c r="Q20" s="472">
        <f>backend!O14</f>
        <v>2.4791237114838677E-2</v>
      </c>
      <c r="R20" s="472">
        <f t="shared" si="0"/>
        <v>-5.4032322444008338E-4</v>
      </c>
    </row>
    <row r="21" spans="16:18" x14ac:dyDescent="0.35">
      <c r="P21" s="472">
        <f>backend!N15</f>
        <v>1.2761376763080904E-2</v>
      </c>
      <c r="Q21" s="472">
        <f>backend!O15</f>
        <v>3.9542457975687015E-3</v>
      </c>
      <c r="R21" s="472">
        <f t="shared" si="0"/>
        <v>-8.8071309655122013E-3</v>
      </c>
    </row>
    <row r="22" spans="16:18" ht="15" thickBot="1" x14ac:dyDescent="0.4">
      <c r="P22" s="473">
        <f>backend!N16</f>
        <v>2.4966387500023054E-2</v>
      </c>
      <c r="Q22" s="473">
        <f>backend!O16</f>
        <v>3.3175196945855141E-2</v>
      </c>
      <c r="R22" s="473">
        <f t="shared" si="0"/>
        <v>8.2088094458320875E-3</v>
      </c>
    </row>
    <row r="23" spans="16:18" x14ac:dyDescent="0.35">
      <c r="P23" s="472">
        <f>backend!N17</f>
        <v>6.8731798992639356E-2</v>
      </c>
      <c r="Q23" s="472">
        <f>backend!O17</f>
        <v>5.9033311204272416E-2</v>
      </c>
      <c r="R23" s="472">
        <f t="shared" si="0"/>
        <v>-9.6984877883669399E-3</v>
      </c>
    </row>
    <row r="24" spans="16:18" ht="15" thickBot="1" x14ac:dyDescent="0.4">
      <c r="P24" s="473">
        <f>backend!N18</f>
        <v>2.9306657272994974E-2</v>
      </c>
      <c r="Q24" s="473">
        <f>backend!O18</f>
        <v>7.1933383165525928E-3</v>
      </c>
      <c r="R24" s="473">
        <f t="shared" si="0"/>
        <v>-2.211331895644238E-2</v>
      </c>
    </row>
    <row r="25" spans="16:18" x14ac:dyDescent="0.35">
      <c r="P25" s="472">
        <f>backend!N19</f>
        <v>3.9425141719644383E-2</v>
      </c>
      <c r="Q25" s="472">
        <f>backend!O19</f>
        <v>5.1839972887719819E-2</v>
      </c>
      <c r="R25" s="472">
        <f t="shared" si="0"/>
        <v>1.2414831168075437E-2</v>
      </c>
    </row>
  </sheetData>
  <conditionalFormatting sqref="R10:R25">
    <cfRule type="iconSet" priority="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R10:R26">
    <cfRule type="iconSet" priority="1">
      <iconSet iconSet="3ArrowsGray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9D921539-7364-4179-BD2C-2CA05BB7C19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R10:R25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CD75BD-C12F-43BA-9C37-79D7BE01FF94}">
          <x14:formula1>
            <xm:f>EIR!$D$3:$J$3</xm:f>
          </x14:formula1>
          <xm:sqref>B4:B5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309-A1B9-4CC4-957B-6CEC1909E4C3}">
  <sheetPr codeName="Hoja11"/>
  <dimension ref="A4:F51"/>
  <sheetViews>
    <sheetView showGridLines="0" tabSelected="1" zoomScale="85" zoomScaleNormal="85" workbookViewId="0">
      <selection activeCell="Q26" sqref="Q26"/>
    </sheetView>
  </sheetViews>
  <sheetFormatPr baseColWidth="10" defaultRowHeight="14.5" x14ac:dyDescent="0.35"/>
  <cols>
    <col min="1" max="1" width="36.08984375" customWidth="1"/>
    <col min="4" max="6" width="8.36328125" customWidth="1"/>
  </cols>
  <sheetData>
    <row r="4" spans="1:6" x14ac:dyDescent="0.35">
      <c r="A4" s="462" t="s">
        <v>40</v>
      </c>
      <c r="B4" s="476">
        <v>2021</v>
      </c>
    </row>
    <row r="5" spans="1:6" x14ac:dyDescent="0.35">
      <c r="A5" s="462" t="s">
        <v>39</v>
      </c>
      <c r="B5" s="476">
        <v>2024</v>
      </c>
    </row>
    <row r="6" spans="1:6" x14ac:dyDescent="0.35">
      <c r="A6" s="478" t="s">
        <v>148</v>
      </c>
      <c r="B6" s="461"/>
    </row>
    <row r="8" spans="1:6" x14ac:dyDescent="0.35">
      <c r="A8" s="479" t="s">
        <v>2</v>
      </c>
      <c r="B8" s="480">
        <f>B4</f>
        <v>2021</v>
      </c>
      <c r="C8" s="480">
        <f>B5</f>
        <v>2024</v>
      </c>
      <c r="D8" s="480">
        <f>B4</f>
        <v>2021</v>
      </c>
      <c r="E8" s="480">
        <f>B5</f>
        <v>2024</v>
      </c>
      <c r="F8" s="471" t="s">
        <v>101</v>
      </c>
    </row>
    <row r="9" spans="1:6" x14ac:dyDescent="0.35">
      <c r="A9" s="481" t="s">
        <v>44</v>
      </c>
      <c r="B9" s="482">
        <f>backend!T4/1000000</f>
        <v>3.1541814972042914</v>
      </c>
      <c r="C9" s="482">
        <f>backend!U4/1000000</f>
        <v>19.822447880606202</v>
      </c>
      <c r="D9" s="483">
        <f>backend!W4</f>
        <v>9.7804566116536495E-3</v>
      </c>
      <c r="E9" s="483">
        <f>backend!X4</f>
        <v>5.9704618863797507E-2</v>
      </c>
      <c r="F9" s="472">
        <f>backend!Y4</f>
        <v>4.9924162252143856E-2</v>
      </c>
    </row>
    <row r="10" spans="1:6" x14ac:dyDescent="0.35">
      <c r="A10" s="481" t="s">
        <v>45</v>
      </c>
      <c r="B10" s="482">
        <f>backend!T5/1000000</f>
        <v>30.454330411148543</v>
      </c>
      <c r="C10" s="482">
        <f>backend!U5/1000000</f>
        <v>45.837064389568425</v>
      </c>
      <c r="D10" s="483">
        <f>backend!W5</f>
        <v>9.443250411785381E-2</v>
      </c>
      <c r="E10" s="483">
        <f>backend!X5</f>
        <v>0.13805986403384787</v>
      </c>
      <c r="F10" s="472">
        <f>backend!Y5</f>
        <v>4.3627359915994063E-2</v>
      </c>
    </row>
    <row r="11" spans="1:6" x14ac:dyDescent="0.35">
      <c r="A11" s="481" t="s">
        <v>46</v>
      </c>
      <c r="B11" s="482">
        <f>backend!T6/1000000</f>
        <v>-0.224164700727424</v>
      </c>
      <c r="C11" s="482">
        <f>backend!U6/1000000</f>
        <v>-3.7292099392260942</v>
      </c>
      <c r="D11" s="483">
        <f>backend!W6</f>
        <v>-6.9508781637079491E-4</v>
      </c>
      <c r="E11" s="483">
        <f>backend!X6</f>
        <v>-1.1232268558638299E-2</v>
      </c>
      <c r="F11" s="472">
        <f>backend!Y6</f>
        <v>-1.0537180742267505E-2</v>
      </c>
    </row>
    <row r="12" spans="1:6" x14ac:dyDescent="0.35">
      <c r="A12" s="481" t="s">
        <v>47</v>
      </c>
      <c r="B12" s="482">
        <f>backend!T7/1000000</f>
        <v>36.622034818556777</v>
      </c>
      <c r="C12" s="482">
        <f>backend!U7/1000000</f>
        <v>43.553811831679361</v>
      </c>
      <c r="D12" s="483">
        <f>backend!W7</f>
        <v>0.11355726450454319</v>
      </c>
      <c r="E12" s="483">
        <f>backend!X7</f>
        <v>0.13118277576706874</v>
      </c>
      <c r="F12" s="472">
        <f>backend!Y7</f>
        <v>1.7625511262525553E-2</v>
      </c>
    </row>
    <row r="13" spans="1:6" ht="15" thickBot="1" x14ac:dyDescent="0.4">
      <c r="A13" s="484" t="s">
        <v>48</v>
      </c>
      <c r="B13" s="485">
        <f>backend!T8/1000000</f>
        <v>37.3859728779763</v>
      </c>
      <c r="C13" s="485">
        <f>backend!U8/1000000</f>
        <v>8.6978998384491106</v>
      </c>
      <c r="D13" s="486">
        <f>backend!W8</f>
        <v>0.11592607652463968</v>
      </c>
      <c r="E13" s="486">
        <f>backend!X8</f>
        <v>2.6197813604956693E-2</v>
      </c>
      <c r="F13" s="473">
        <f>backend!Y8</f>
        <v>-8.9728262919682986E-2</v>
      </c>
    </row>
    <row r="14" spans="1:6" x14ac:dyDescent="0.35">
      <c r="A14" s="479" t="s">
        <v>49</v>
      </c>
      <c r="B14" s="482">
        <f>backend!T9/1000000</f>
        <v>107.39235490415849</v>
      </c>
      <c r="C14" s="482">
        <f>backend!U9/1000000</f>
        <v>114.18201400107701</v>
      </c>
      <c r="D14" s="483">
        <f>backend!W9</f>
        <v>0.33300121394231952</v>
      </c>
      <c r="E14" s="483">
        <f>backend!X9</f>
        <v>0.34391280371103256</v>
      </c>
      <c r="F14" s="472">
        <f>backend!Y9</f>
        <v>1.0911589768713037E-2</v>
      </c>
    </row>
    <row r="15" spans="1:6" x14ac:dyDescent="0.35">
      <c r="A15" s="481" t="s">
        <v>50</v>
      </c>
      <c r="B15" s="482">
        <f>backend!T10/1000000</f>
        <v>143.01453895417325</v>
      </c>
      <c r="C15" s="482">
        <f>backend!U10/1000000</f>
        <v>146.68574505731209</v>
      </c>
      <c r="D15" s="483">
        <f>backend!W10</f>
        <v>0.44345815049537307</v>
      </c>
      <c r="E15" s="483">
        <f>backend!X10</f>
        <v>0.44181306739453818</v>
      </c>
      <c r="F15" s="472">
        <f>backend!Y10</f>
        <v>-1.6450831008348876E-3</v>
      </c>
    </row>
    <row r="16" spans="1:6" x14ac:dyDescent="0.35">
      <c r="A16" s="481" t="s">
        <v>51</v>
      </c>
      <c r="B16" s="482">
        <f>backend!T11/1000000</f>
        <v>6.6677885485494387E-2</v>
      </c>
      <c r="C16" s="482">
        <f>backend!U11/1000000</f>
        <v>6.4032617893684129</v>
      </c>
      <c r="D16" s="483">
        <f>backend!W11</f>
        <v>2.0675416634258773E-4</v>
      </c>
      <c r="E16" s="483">
        <f>backend!X11</f>
        <v>1.9286432579973957E-2</v>
      </c>
      <c r="F16" s="472">
        <f>backend!Y11</f>
        <v>1.9079678413631368E-2</v>
      </c>
    </row>
    <row r="17" spans="1:6" x14ac:dyDescent="0.35">
      <c r="A17" s="481" t="s">
        <v>52</v>
      </c>
      <c r="B17" s="482">
        <f>backend!T12/1000000</f>
        <v>12.899948245260314</v>
      </c>
      <c r="C17" s="482">
        <f>backend!U12/1000000</f>
        <v>22.195245788137548</v>
      </c>
      <c r="D17" s="483">
        <f>backend!W12</f>
        <v>4.0000039381745969E-2</v>
      </c>
      <c r="E17" s="483">
        <f>backend!X12</f>
        <v>6.6851415039691553E-2</v>
      </c>
      <c r="F17" s="472">
        <f>backend!Y12</f>
        <v>2.6851375657945584E-2</v>
      </c>
    </row>
    <row r="18" spans="1:6" x14ac:dyDescent="0.35">
      <c r="A18" s="481" t="s">
        <v>53</v>
      </c>
      <c r="B18" s="482">
        <f>backend!T13/1000000</f>
        <v>15.60453028604813</v>
      </c>
      <c r="C18" s="482">
        <f>backend!U13/1000000</f>
        <v>16.584352642510961</v>
      </c>
      <c r="D18" s="483">
        <f>backend!W13</f>
        <v>4.8386382186061026E-2</v>
      </c>
      <c r="E18" s="483">
        <f>backend!X13</f>
        <v>4.9951573064428677E-2</v>
      </c>
      <c r="F18" s="472">
        <f>backend!Y13</f>
        <v>1.5651908783676505E-3</v>
      </c>
    </row>
    <row r="19" spans="1:6" ht="15" thickBot="1" x14ac:dyDescent="0.4">
      <c r="A19" s="484" t="s">
        <v>54</v>
      </c>
      <c r="B19" s="485">
        <f>backend!T14/1000000</f>
        <v>43.520338342641779</v>
      </c>
      <c r="C19" s="485">
        <f>backend!U14/1000000</f>
        <v>25.95799676898223</v>
      </c>
      <c r="D19" s="486">
        <f>backend!W14</f>
        <v>0.13494745982815776</v>
      </c>
      <c r="E19" s="486">
        <f>backend!X14</f>
        <v>7.8184708210335102E-2</v>
      </c>
      <c r="F19" s="473">
        <f>backend!Y14</f>
        <v>-5.6762751617822654E-2</v>
      </c>
    </row>
    <row r="20" spans="1:6" x14ac:dyDescent="0.35">
      <c r="A20" s="479" t="s">
        <v>55</v>
      </c>
      <c r="B20" s="482">
        <f>backend!T15/1000000</f>
        <v>322.49838861776743</v>
      </c>
      <c r="C20" s="482">
        <f>backend!U15/1000000</f>
        <v>332.00861604738827</v>
      </c>
      <c r="D20" s="483">
        <f>backend!W15</f>
        <v>1</v>
      </c>
      <c r="E20" s="483">
        <f>backend!X15</f>
        <v>1</v>
      </c>
      <c r="F20" s="472">
        <f>backend!Y15</f>
        <v>0</v>
      </c>
    </row>
    <row r="27" spans="1:6" x14ac:dyDescent="0.35">
      <c r="A27" s="479" t="s">
        <v>3</v>
      </c>
      <c r="B27" s="480">
        <f>B4</f>
        <v>2021</v>
      </c>
      <c r="C27" s="480">
        <f>B5</f>
        <v>2024</v>
      </c>
      <c r="D27" s="480">
        <f>B4</f>
        <v>2021</v>
      </c>
      <c r="E27" s="480">
        <f>B5</f>
        <v>2024</v>
      </c>
      <c r="F27" s="471" t="s">
        <v>101</v>
      </c>
    </row>
    <row r="28" spans="1:6" x14ac:dyDescent="0.35">
      <c r="A28" s="481" t="s">
        <v>56</v>
      </c>
      <c r="B28" s="482">
        <f>backend!T17/1000000</f>
        <v>23.796384788551727</v>
      </c>
      <c r="C28" s="482">
        <f>backend!U17/1000000</f>
        <v>29.259789214554967</v>
      </c>
      <c r="D28" s="483">
        <f>backend!W17</f>
        <v>7.3787608336721808E-2</v>
      </c>
      <c r="E28" s="483">
        <f>backend!X17</f>
        <v>8.812960808938361E-2</v>
      </c>
      <c r="F28" s="472">
        <f>backend!Y17</f>
        <v>1.4341999752661802E-2</v>
      </c>
    </row>
    <row r="29" spans="1:6" x14ac:dyDescent="0.35">
      <c r="A29" s="481" t="s">
        <v>57</v>
      </c>
      <c r="B29" s="482">
        <f>backend!T18/1000000</f>
        <v>8.9049903634579799</v>
      </c>
      <c r="C29" s="482">
        <f>backend!U18/1000000</f>
        <v>21.871220863143318</v>
      </c>
      <c r="D29" s="483">
        <f>backend!W18</f>
        <v>2.7612511186877214E-2</v>
      </c>
      <c r="E29" s="483">
        <f>backend!X18</f>
        <v>6.5875461677842709E-2</v>
      </c>
      <c r="F29" s="472">
        <f>backend!Y18</f>
        <v>3.8262950490965494E-2</v>
      </c>
    </row>
    <row r="30" spans="1:6" x14ac:dyDescent="0.35">
      <c r="A30" s="481" t="s">
        <v>58</v>
      </c>
      <c r="B30" s="482">
        <f>backend!T19/1000000</f>
        <v>0</v>
      </c>
      <c r="C30" s="482">
        <f>backend!U19/1000000</f>
        <v>38.613739518424495</v>
      </c>
      <c r="D30" s="483">
        <f>backend!W19</f>
        <v>0</v>
      </c>
      <c r="E30" s="483">
        <f>backend!X19</f>
        <v>0.11630342603191081</v>
      </c>
      <c r="F30" s="472">
        <f>backend!Y19</f>
        <v>0.11630342603191081</v>
      </c>
    </row>
    <row r="31" spans="1:6" x14ac:dyDescent="0.35">
      <c r="A31" s="481" t="s">
        <v>59</v>
      </c>
      <c r="B31" s="482">
        <f>backend!T20/1000000</f>
        <v>0</v>
      </c>
      <c r="C31" s="482">
        <f>backend!U20/1000000</f>
        <v>0</v>
      </c>
      <c r="D31" s="483">
        <f>backend!W20</f>
        <v>0</v>
      </c>
      <c r="E31" s="483">
        <f>backend!X20</f>
        <v>0</v>
      </c>
      <c r="F31" s="472">
        <f>backend!Y20</f>
        <v>0</v>
      </c>
    </row>
    <row r="32" spans="1:6" x14ac:dyDescent="0.35">
      <c r="A32" s="481" t="s">
        <v>60</v>
      </c>
      <c r="B32" s="482">
        <f>backend!T21/1000000</f>
        <v>2.9052507247251125</v>
      </c>
      <c r="C32" s="482">
        <f>backend!U21/1000000</f>
        <v>20.623432571736288</v>
      </c>
      <c r="D32" s="483">
        <f>backend!W21</f>
        <v>9.0085743906413215E-3</v>
      </c>
      <c r="E32" s="483">
        <f>backend!X21</f>
        <v>6.2117160744987E-2</v>
      </c>
      <c r="F32" s="472">
        <f>backend!Y21</f>
        <v>5.3108586354345677E-2</v>
      </c>
    </row>
    <row r="33" spans="1:6" ht="15" thickBot="1" x14ac:dyDescent="0.4">
      <c r="A33" s="484" t="s">
        <v>61</v>
      </c>
      <c r="B33" s="485">
        <f>backend!T22/1000000</f>
        <v>58.734644241729562</v>
      </c>
      <c r="C33" s="485">
        <f>backend!U22/1000000</f>
        <v>72.289868451419338</v>
      </c>
      <c r="D33" s="486">
        <f>backend!W22</f>
        <v>0.18212383786929001</v>
      </c>
      <c r="E33" s="486">
        <f>backend!X22</f>
        <v>0.21773491697908606</v>
      </c>
      <c r="F33" s="473">
        <f>backend!Y22</f>
        <v>3.5611079109796051E-2</v>
      </c>
    </row>
    <row r="34" spans="1:6" x14ac:dyDescent="0.35">
      <c r="A34" s="487" t="s">
        <v>62</v>
      </c>
      <c r="B34" s="482">
        <f>backend!T23/1000000</f>
        <v>94.341270118464379</v>
      </c>
      <c r="C34" s="482">
        <f>backend!U23/1000000</f>
        <v>182.65805061927841</v>
      </c>
      <c r="D34" s="483">
        <f>backend!W23</f>
        <v>0.29253253178353034</v>
      </c>
      <c r="E34" s="483">
        <f>backend!X23</f>
        <v>0.55016057352321013</v>
      </c>
      <c r="F34" s="472">
        <f>backend!Y23</f>
        <v>0.25762804173967979</v>
      </c>
    </row>
    <row r="35" spans="1:6" x14ac:dyDescent="0.35">
      <c r="A35" s="481" t="s">
        <v>63</v>
      </c>
      <c r="B35" s="482">
        <f>backend!T24/1000000</f>
        <v>161.65767573591748</v>
      </c>
      <c r="C35" s="482">
        <f>backend!U24/1000000</f>
        <v>88.686206631279333</v>
      </c>
      <c r="D35" s="483">
        <f>backend!W24</f>
        <v>0.5012666154047607</v>
      </c>
      <c r="E35" s="483">
        <f>backend!X24</f>
        <v>0.26712019611750371</v>
      </c>
      <c r="F35" s="472">
        <f>backend!Y24</f>
        <v>-0.23414641928725699</v>
      </c>
    </row>
    <row r="36" spans="1:6" ht="15" thickBot="1" x14ac:dyDescent="0.4">
      <c r="A36" s="484" t="s">
        <v>64</v>
      </c>
      <c r="B36" s="485">
        <f>backend!T25/1000000</f>
        <v>11.582583736311189</v>
      </c>
      <c r="C36" s="485">
        <f>backend!U25/1000000</f>
        <v>10.072774828832987</v>
      </c>
      <c r="D36" s="486">
        <f>backend!W25</f>
        <v>3.5915167781005987E-2</v>
      </c>
      <c r="E36" s="486">
        <f>backend!X25</f>
        <v>3.0338895865868975E-2</v>
      </c>
      <c r="F36" s="473">
        <f>backend!Y25</f>
        <v>-5.576271915137012E-3</v>
      </c>
    </row>
    <row r="37" spans="1:6" ht="15" thickBot="1" x14ac:dyDescent="0.4">
      <c r="A37" s="488" t="s">
        <v>65</v>
      </c>
      <c r="B37" s="485">
        <f>backend!T26/1000000</f>
        <v>173.24025947222867</v>
      </c>
      <c r="C37" s="485">
        <f>backend!U26/1000000</f>
        <v>98.758981460112309</v>
      </c>
      <c r="D37" s="486">
        <f>backend!W26</f>
        <v>0.5371817831857667</v>
      </c>
      <c r="E37" s="486">
        <f>backend!X26</f>
        <v>0.29745909198337261</v>
      </c>
      <c r="F37" s="473">
        <f>backend!Y26</f>
        <v>-0.23972269120239409</v>
      </c>
    </row>
    <row r="38" spans="1:6" x14ac:dyDescent="0.35">
      <c r="A38" s="487" t="s">
        <v>66</v>
      </c>
      <c r="B38" s="482">
        <f>backend!T27/1000000</f>
        <v>267.58152959069304</v>
      </c>
      <c r="C38" s="482">
        <f>backend!U27/1000000</f>
        <v>281.41703207939071</v>
      </c>
      <c r="D38" s="483">
        <f>backend!W27</f>
        <v>0.82971431496929693</v>
      </c>
      <c r="E38" s="483">
        <f>backend!X27</f>
        <v>0.84761966550658274</v>
      </c>
      <c r="F38" s="472">
        <f>backend!Y27</f>
        <v>1.7905350537285813E-2</v>
      </c>
    </row>
    <row r="45" spans="1:6" x14ac:dyDescent="0.35">
      <c r="A45" s="487" t="s">
        <v>4</v>
      </c>
      <c r="B45" s="482">
        <f>backend!T28/1000000</f>
        <v>0</v>
      </c>
      <c r="C45" s="482">
        <f>backend!U28/1000000</f>
        <v>0</v>
      </c>
      <c r="D45" s="483">
        <f>backend!W28</f>
        <v>0</v>
      </c>
      <c r="E45" s="483">
        <f>backend!X28</f>
        <v>0</v>
      </c>
      <c r="F45" s="472">
        <f>backend!Y28</f>
        <v>0</v>
      </c>
    </row>
    <row r="46" spans="1:6" x14ac:dyDescent="0.35">
      <c r="A46" s="481" t="s">
        <v>67</v>
      </c>
      <c r="B46" s="482">
        <f>backend!T29/1000000</f>
        <v>4.9719476610350313</v>
      </c>
      <c r="C46" s="482">
        <f>backend!U29/1000000</f>
        <v>4.8185245018847604</v>
      </c>
      <c r="D46" s="483">
        <f>backend!W29</f>
        <v>1.5416969003612288E-2</v>
      </c>
      <c r="E46" s="483">
        <f>backend!X29</f>
        <v>1.4513251370551788E-2</v>
      </c>
      <c r="F46" s="472">
        <f>backend!Y29</f>
        <v>-9.0371763306049992E-4</v>
      </c>
    </row>
    <row r="47" spans="1:6" x14ac:dyDescent="0.35">
      <c r="A47" s="481" t="s">
        <v>68</v>
      </c>
      <c r="B47" s="482">
        <f>backend!T30/1000000</f>
        <v>13.776603682524362</v>
      </c>
      <c r="C47" s="482">
        <f>backend!U30/1000000</f>
        <v>13.351488576044311</v>
      </c>
      <c r="D47" s="483">
        <f>backend!W30</f>
        <v>4.2718364397326375E-2</v>
      </c>
      <c r="E47" s="483">
        <f>backend!X30</f>
        <v>4.0214283397207451E-2</v>
      </c>
      <c r="F47" s="472">
        <f>backend!Y30</f>
        <v>-2.504081000118924E-3</v>
      </c>
    </row>
    <row r="48" spans="1:6" x14ac:dyDescent="0.35">
      <c r="A48" s="481" t="s">
        <v>69</v>
      </c>
      <c r="B48" s="482">
        <f>backend!T31/1000000</f>
        <v>6.7570099096038385</v>
      </c>
      <c r="C48" s="482">
        <f>backend!U31/1000000</f>
        <v>-11.120547734441111</v>
      </c>
      <c r="D48" s="483">
        <f>backend!W31</f>
        <v>2.0952073399698141E-2</v>
      </c>
      <c r="E48" s="483">
        <f>backend!X31</f>
        <v>-3.349475645190441E-2</v>
      </c>
      <c r="F48" s="472">
        <f>backend!Y31</f>
        <v>-5.4446829851602555E-2</v>
      </c>
    </row>
    <row r="49" spans="1:6" x14ac:dyDescent="0.35">
      <c r="A49" s="481" t="s">
        <v>70</v>
      </c>
      <c r="B49" s="482">
        <f>backend!T32/1000000</f>
        <v>9.0491416016028108</v>
      </c>
      <c r="C49" s="482">
        <f>backend!U32/1000000</f>
        <v>14.923917224401878</v>
      </c>
      <c r="D49" s="483">
        <f>backend!W32</f>
        <v>2.8059494003636908E-2</v>
      </c>
      <c r="E49" s="483">
        <f>backend!X32</f>
        <v>4.4950391354517609E-2</v>
      </c>
      <c r="F49" s="472">
        <f>backend!Y32</f>
        <v>1.6890897350880701E-2</v>
      </c>
    </row>
    <row r="50" spans="1:6" ht="15" thickBot="1" x14ac:dyDescent="0.4">
      <c r="A50" s="484" t="s">
        <v>30</v>
      </c>
      <c r="B50" s="485">
        <f>backend!T33/1000000</f>
        <v>20.362156172308357</v>
      </c>
      <c r="C50" s="485">
        <f>backend!U33/1000000</f>
        <v>28.618201400107701</v>
      </c>
      <c r="D50" s="486">
        <f>backend!W33</f>
        <v>6.3138784226429281E-2</v>
      </c>
      <c r="E50" s="486">
        <f>backend!X33</f>
        <v>8.6197164823044736E-2</v>
      </c>
      <c r="F50" s="473">
        <f>backend!Y33</f>
        <v>2.3058380596615455E-2</v>
      </c>
    </row>
    <row r="51" spans="1:6" x14ac:dyDescent="0.35">
      <c r="A51" s="487" t="s">
        <v>71</v>
      </c>
      <c r="B51" s="482">
        <f>backend!T34/1000000</f>
        <v>54.916859027074402</v>
      </c>
      <c r="C51" s="482">
        <f>backend!U34/1000000</f>
        <v>50.591583967997536</v>
      </c>
      <c r="D51" s="483">
        <f>backend!W34</f>
        <v>0.17028568503070302</v>
      </c>
      <c r="E51" s="483">
        <f>backend!X34</f>
        <v>0.15238033449341717</v>
      </c>
      <c r="F51" s="472">
        <f>backend!Y34</f>
        <v>-1.7905350537285841E-2</v>
      </c>
    </row>
  </sheetData>
  <conditionalFormatting sqref="F9:F20">
    <cfRule type="iconSet" priority="11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F9:F20">
    <cfRule type="iconSet" priority="10">
      <iconSet iconSet="3ArrowsGray">
        <cfvo type="percent" val="0"/>
        <cfvo type="percent" val="33"/>
        <cfvo type="percent" val="67"/>
      </iconSet>
    </cfRule>
  </conditionalFormatting>
  <conditionalFormatting sqref="F28:F38">
    <cfRule type="iconSet" priority="5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F28:F38">
    <cfRule type="iconSet" priority="4">
      <iconSet iconSet="3ArrowsGray">
        <cfvo type="percent" val="0"/>
        <cfvo type="percent" val="33"/>
        <cfvo type="percent" val="67"/>
      </iconSet>
    </cfRule>
  </conditionalFormatting>
  <conditionalFormatting sqref="F45:F51">
    <cfRule type="iconSet" priority="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F45:F51">
    <cfRule type="iconSet" priority="1">
      <iconSet iconSet="3ArrowsGray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44DF655A-F254-445A-99A2-E3460B09F41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F9:F20</xm:sqref>
        </x14:conditionalFormatting>
        <x14:conditionalFormatting xmlns:xm="http://schemas.microsoft.com/office/excel/2006/main">
          <x14:cfRule type="iconSet" priority="6" id="{1CC3A0D6-01D8-4702-90FF-DE12405FE78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F28:F38</xm:sqref>
        </x14:conditionalFormatting>
        <x14:conditionalFormatting xmlns:xm="http://schemas.microsoft.com/office/excel/2006/main">
          <x14:cfRule type="iconSet" priority="3" id="{138D2848-A3A5-455F-A303-CF7B78E25CF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F45:F51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FF3C1DC-9CF2-4896-8B25-C7E491B120B4}">
          <x14:formula1>
            <xm:f>EIR!$D$3:$J$3</xm:f>
          </x14:formula1>
          <xm:sqref>B4:B5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F927-2BF9-4197-AE31-60AB69C00584}">
  <sheetPr codeName="Hoja12"/>
  <dimension ref="A4:B5"/>
  <sheetViews>
    <sheetView showGridLines="0" zoomScale="85" zoomScaleNormal="85" workbookViewId="0">
      <selection activeCell="B4" sqref="B4"/>
    </sheetView>
  </sheetViews>
  <sheetFormatPr baseColWidth="10" defaultRowHeight="14.5" x14ac:dyDescent="0.35"/>
  <cols>
    <col min="1" max="1" width="14.90625" customWidth="1"/>
  </cols>
  <sheetData>
    <row r="4" spans="1:2" x14ac:dyDescent="0.35">
      <c r="A4" s="462" t="s">
        <v>40</v>
      </c>
      <c r="B4" s="476">
        <v>2021</v>
      </c>
    </row>
    <row r="5" spans="1:2" x14ac:dyDescent="0.35">
      <c r="A5" s="462" t="s">
        <v>39</v>
      </c>
      <c r="B5" s="476">
        <v>2024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9B9A30-DC05-428D-87F5-2E67719D1328}">
          <x14:formula1>
            <xm:f>EIR!$D$3:$J$3</xm:f>
          </x14:formula1>
          <xm:sqref>B4:B5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17</vt:i4>
      </vt:variant>
    </vt:vector>
  </HeadingPairs>
  <TitlesOfParts>
    <vt:vector size="30" baseType="lpstr">
      <vt:lpstr>Data</vt:lpstr>
      <vt:lpstr>EIR</vt:lpstr>
      <vt:lpstr>EIR detallado</vt:lpstr>
      <vt:lpstr>ESF</vt:lpstr>
      <vt:lpstr>Flujo de Caja</vt:lpstr>
      <vt:lpstr>EIR Comparativo</vt:lpstr>
      <vt:lpstr>Resumen Ejecutivo</vt:lpstr>
      <vt:lpstr>Unpivot EIR</vt:lpstr>
      <vt:lpstr>Unpivot ratios</vt:lpstr>
      <vt:lpstr>backend</vt:lpstr>
      <vt:lpstr>Dashboard-EIR</vt:lpstr>
      <vt:lpstr>Dashboard-ESF</vt:lpstr>
      <vt:lpstr>Dashboard-Ratios</vt:lpstr>
      <vt:lpstr>MonedaOriginal</vt:lpstr>
      <vt:lpstr>MonedaReporte</vt:lpstr>
      <vt:lpstr>Ordenador</vt:lpstr>
      <vt:lpstr>POWER_USER_EXCEL_CHART_0BA4DA0B_34BA_4189_9DC7_8A034F58467C</vt:lpstr>
      <vt:lpstr>POWER_USER_EXCEL_CHART_2043CCC9_CB60_44E0_8FAC_BB8523E2358E</vt:lpstr>
      <vt:lpstr>POWER_USER_EXCEL_CHART_4F842C10_C103_472E_877A_AC1E745FF89B</vt:lpstr>
      <vt:lpstr>POWER_USER_EXCEL_CHART_70A96AC0_C288_4254_BE0B_6215D241E0FD</vt:lpstr>
      <vt:lpstr>POWER_USER_EXCEL_CHART_B5CCA830_E95D_4F2D_9A09_726ABA1B2D96</vt:lpstr>
      <vt:lpstr>POWER_USER_EXCEL_CHART_F7A2DE5F_880F_4BD1_A7B6_3355C6B2A342</vt:lpstr>
      <vt:lpstr>POWER_USER_EXCEL_CHART_FBCC3393_744A_4011_BC28_DBA212908A4C</vt:lpstr>
      <vt:lpstr>Tasa00</vt:lpstr>
      <vt:lpstr>Tasa01</vt:lpstr>
      <vt:lpstr>Tasa02</vt:lpstr>
      <vt:lpstr>Tasa03</vt:lpstr>
      <vt:lpstr>Tasa04</vt:lpstr>
      <vt:lpstr>Tasa05</vt:lpstr>
      <vt:lpstr>Tasa06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Catalina Naranjo</dc:creator>
  <cp:lastModifiedBy>Catalina Naranjo</cp:lastModifiedBy>
  <dcterms:created xsi:type="dcterms:W3CDTF">2025-10-19T12:26:05Z</dcterms:created>
  <dcterms:modified xsi:type="dcterms:W3CDTF">2025-10-22T18:18:11Z</dcterms:modified>
</cp:coreProperties>
</file>